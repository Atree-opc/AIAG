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 codeName="{DD97A8EA-9A9A-E61F-A557-7D5A7D7259CE}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2025.8.7新工作\套表制作\"/>
    </mc:Choice>
  </mc:AlternateContent>
  <xr:revisionPtr revIDLastSave="0" documentId="13_ncr:1_{12C6D892-E5AA-49FE-A58F-4ABDB9654392}" xr6:coauthVersionLast="47" xr6:coauthVersionMax="47" xr10:uidLastSave="{00000000-0000-0000-0000-000000000000}"/>
  <bookViews>
    <workbookView xWindow="754" yWindow="754" windowWidth="19269" windowHeight="12772" xr2:uid="{00000000-000D-0000-FFFF-FFFF00000000}"/>
  </bookViews>
  <sheets>
    <sheet name="填写区域" sheetId="2" r:id="rId1"/>
    <sheet name="参数库" sheetId="12" r:id="rId2"/>
    <sheet name="合同" sheetId="1" r:id="rId3"/>
    <sheet name="发票" sheetId="3" r:id="rId4"/>
    <sheet name="IPPC" sheetId="4" r:id="rId5"/>
    <sheet name="汇票" sheetId="6" r:id="rId6"/>
    <sheet name="销售证申请书" sheetId="8" r:id="rId7"/>
    <sheet name="销售证合同" sheetId="9" r:id="rId8"/>
    <sheet name="销售证发票" sheetId="11" r:id="rId9"/>
  </sheets>
  <functionGroups builtInGroupCount="19"/>
  <externalReferences>
    <externalReference r:id="rId10"/>
  </externalReferences>
  <definedNames>
    <definedName name="_Hlk180583337" localSheetId="6">销售证申请书!$A$4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6" l="1"/>
  <c r="A3" i="6"/>
  <c r="B49" i="2"/>
  <c r="B47" i="2"/>
  <c r="B44" i="2"/>
  <c r="B34" i="2"/>
  <c r="B33" i="2"/>
  <c r="B32" i="2"/>
  <c r="G51" i="6"/>
  <c r="B24" i="4"/>
  <c r="B23" i="4"/>
  <c r="B19" i="4"/>
  <c r="B21" i="4"/>
  <c r="B22" i="4"/>
  <c r="B20" i="4"/>
  <c r="I2" i="6" l="1"/>
  <c r="B73" i="2"/>
  <c r="B72" i="2"/>
  <c r="B71" i="2"/>
  <c r="G22" i="6"/>
  <c r="G15" i="6"/>
  <c r="E17" i="2" l="1"/>
  <c r="E16" i="1"/>
  <c r="G1" i="1"/>
  <c r="B58" i="2"/>
  <c r="B59" i="2"/>
  <c r="B60" i="2"/>
  <c r="B61" i="2"/>
  <c r="F61" i="2" s="1" a="1"/>
  <c r="F61" i="2" s="1"/>
  <c r="G1" i="3"/>
  <c r="D24" i="2"/>
  <c r="C24" i="2"/>
  <c r="B14" i="2" l="1"/>
  <c r="B13" i="2"/>
  <c r="B12" i="2"/>
  <c r="B9" i="2"/>
  <c r="B15" i="2"/>
  <c r="B40" i="2"/>
  <c r="B35" i="2"/>
  <c r="B29" i="2"/>
  <c r="B30" i="2"/>
  <c r="B16" i="2"/>
  <c r="B24" i="2"/>
  <c r="B21" i="2"/>
  <c r="B55" i="2"/>
  <c r="B54" i="2"/>
  <c r="B53" i="2"/>
  <c r="B8" i="2"/>
  <c r="B39" i="2" s="1"/>
  <c r="B7" i="2"/>
  <c r="G20" i="12"/>
  <c r="G19" i="12"/>
  <c r="G18" i="12"/>
  <c r="H28" i="3" l="1"/>
  <c r="F21" i="2"/>
  <c r="E18" i="1"/>
  <c r="E15" i="1"/>
  <c r="E14" i="1"/>
  <c r="I7" i="11" l="1"/>
  <c r="A7" i="9"/>
  <c r="F29" i="9"/>
  <c r="F9" i="1"/>
  <c r="F8" i="1"/>
  <c r="A35" i="4"/>
  <c r="G33" i="11"/>
  <c r="A35" i="11" s="1"/>
  <c r="A31" i="11"/>
  <c r="A30" i="11"/>
  <c r="F21" i="11"/>
  <c r="F20" i="11"/>
  <c r="F19" i="11"/>
  <c r="F18" i="11"/>
  <c r="F14" i="11"/>
  <c r="F13" i="11"/>
  <c r="F11" i="11"/>
  <c r="F10" i="11"/>
  <c r="G1" i="11"/>
  <c r="F28" i="9"/>
  <c r="A28" i="9"/>
  <c r="A32" i="9" s="1"/>
  <c r="A24" i="9"/>
  <c r="E23" i="9"/>
  <c r="E21" i="9"/>
  <c r="E20" i="9"/>
  <c r="E19" i="9"/>
  <c r="E15" i="9"/>
  <c r="E14" i="9"/>
  <c r="F6" i="9"/>
  <c r="A6" i="9"/>
  <c r="A2" i="9"/>
  <c r="G1" i="9"/>
  <c r="B15" i="8"/>
  <c r="G13" i="8"/>
  <c r="B13" i="8"/>
  <c r="B12" i="8"/>
  <c r="B11" i="8"/>
  <c r="B9" i="8"/>
  <c r="B8" i="8"/>
  <c r="B5" i="8"/>
  <c r="B3" i="8"/>
  <c r="M37" i="6"/>
  <c r="A30" i="6"/>
  <c r="M24" i="6"/>
  <c r="G48" i="6"/>
  <c r="G44" i="6"/>
  <c r="F12" i="6"/>
  <c r="F41" i="6" s="1"/>
  <c r="A4" i="6"/>
  <c r="A33" i="6" s="1"/>
  <c r="A32" i="6"/>
  <c r="I31" i="6"/>
  <c r="A2" i="6"/>
  <c r="A31" i="6" s="1"/>
  <c r="A32" i="4"/>
  <c r="B26" i="4"/>
  <c r="B25" i="4"/>
  <c r="A2" i="4"/>
  <c r="A1" i="4"/>
  <c r="G33" i="3"/>
  <c r="A35" i="3" s="1"/>
  <c r="A31" i="3"/>
  <c r="A30" i="3"/>
  <c r="A29" i="3"/>
  <c r="A25" i="3"/>
  <c r="F21" i="3"/>
  <c r="F20" i="3"/>
  <c r="F19" i="3"/>
  <c r="F18" i="3"/>
  <c r="F14" i="3"/>
  <c r="F13" i="3"/>
  <c r="F11" i="3"/>
  <c r="F10" i="3"/>
  <c r="F28" i="1"/>
  <c r="A28" i="1"/>
  <c r="A32" i="1" s="1"/>
  <c r="A24" i="1"/>
  <c r="E23" i="1"/>
  <c r="E17" i="1"/>
  <c r="E21" i="1"/>
  <c r="E19" i="1"/>
  <c r="E20" i="1"/>
  <c r="F6" i="1"/>
  <c r="A6" i="1"/>
  <c r="A2" i="1"/>
  <c r="F65" i="2" a="1"/>
  <c r="F65" i="2" s="1"/>
  <c r="I8" i="11" s="1"/>
  <c r="F9" i="9"/>
  <c r="F8" i="9"/>
  <c r="F7" i="9"/>
  <c r="F56" i="2" a="1"/>
  <c r="F56" i="2" s="1"/>
  <c r="A29" i="9" s="1"/>
  <c r="A9" i="9"/>
  <c r="A8" i="9"/>
  <c r="B14" i="8"/>
  <c r="M5" i="6"/>
  <c r="M34" i="6" s="1"/>
  <c r="F29" i="2" a="1"/>
  <c r="F29" i="2" s="1"/>
  <c r="I8" i="3" s="1"/>
  <c r="F28" i="2" a="1"/>
  <c r="F28" i="2" s="1"/>
  <c r="F23" i="3" s="1"/>
  <c r="H28" i="11"/>
  <c r="F20" i="2"/>
  <c r="E17" i="9" s="1"/>
  <c r="F19" i="2"/>
  <c r="F15" i="11" s="1"/>
  <c r="F16" i="2" a="1"/>
  <c r="F16" i="2" s="1"/>
  <c r="F10" i="2" a="1"/>
  <c r="F10" i="2" s="1"/>
  <c r="A29" i="1" s="1"/>
  <c r="B25" i="2" l="1"/>
  <c r="E22" i="9" s="1"/>
  <c r="F7" i="1"/>
  <c r="A5" i="3"/>
  <c r="M26" i="6"/>
  <c r="F35" i="2" a="1"/>
  <c r="F35" i="2" s="1"/>
  <c r="A29" i="11" s="1"/>
  <c r="E18" i="9"/>
  <c r="F2" i="6"/>
  <c r="F31" i="6" s="1"/>
  <c r="F15" i="2" a="1"/>
  <c r="F15" i="2" s="1"/>
  <c r="F29" i="1" s="1"/>
  <c r="F16" i="3"/>
  <c r="F16" i="11"/>
  <c r="B10" i="8"/>
  <c r="E16" i="9"/>
  <c r="F15" i="3"/>
  <c r="B4" i="8"/>
  <c r="A3" i="3"/>
  <c r="A7" i="1"/>
  <c r="A3" i="4"/>
  <c r="A3" i="11"/>
  <c r="I7" i="3"/>
  <c r="A5" i="11"/>
  <c r="A8" i="1"/>
  <c r="A33" i="4"/>
  <c r="G33" i="4"/>
  <c r="A9" i="1"/>
  <c r="A34" i="4"/>
  <c r="M27" i="6"/>
  <c r="M56" i="6" s="1"/>
  <c r="E22" i="1" l="1"/>
  <c r="M2" i="6"/>
  <c r="M31" i="6" s="1"/>
  <c r="F17" i="11"/>
  <c r="F17" i="3"/>
  <c r="F2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<sst xmlns="http://schemas.openxmlformats.org/spreadsheetml/2006/main" count="369" uniqueCount="262">
  <si>
    <t>处理区/后期隐藏</t>
  </si>
  <si>
    <t>信息来源</t>
  </si>
  <si>
    <t>汇票</t>
  </si>
  <si>
    <t>公司名称</t>
  </si>
  <si>
    <t>公司地址</t>
  </si>
  <si>
    <t>公司城市</t>
  </si>
  <si>
    <t>公司国家</t>
  </si>
  <si>
    <t>Customer No.:</t>
  </si>
  <si>
    <t>页脚</t>
  </si>
  <si>
    <t>合同区</t>
  </si>
  <si>
    <t>Advanced Ingredients AG</t>
  </si>
  <si>
    <t>Mühlenstrasse 26, 8200,</t>
  </si>
  <si>
    <t>Schaffhausen</t>
  </si>
  <si>
    <t>Switzerland</t>
  </si>
  <si>
    <t xml:space="preserve">Advanced Ingredients AG
Postanschrift: Mühlenstrasse 26, 8200, Schaffhausen, Switzerland, Tel.:+41 78 933 8098
office@advanced-ingredients.com, UID-Nr: PID197648, Firmennummer: CHE-381.983.314
Kreissparkasse Biberach, BIC / Swift Code: SBCRDE66, IBAN: DE84 6545 0070 0008 4455 57 </t>
  </si>
  <si>
    <t>Contract No.:</t>
  </si>
  <si>
    <r>
      <rPr>
        <sz val="11"/>
        <color theme="1"/>
        <rFont val="Times New Roman"/>
        <family val="1"/>
      </rPr>
      <t>AC+</t>
    </r>
    <r>
      <rPr>
        <sz val="11"/>
        <color theme="1"/>
        <rFont val="等线"/>
        <family val="3"/>
        <charset val="134"/>
      </rPr>
      <t>年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3"/>
        <charset val="134"/>
      </rPr>
      <t>月</t>
    </r>
    <r>
      <rPr>
        <sz val="11"/>
        <color theme="1"/>
        <rFont val="Times New Roman"/>
        <family val="1"/>
      </rPr>
      <t>+</t>
    </r>
    <r>
      <rPr>
        <sz val="11"/>
        <color theme="1"/>
        <rFont val="等线"/>
        <family val="3"/>
        <charset val="134"/>
      </rPr>
      <t>批次</t>
    </r>
  </si>
  <si>
    <t>Beijing Yi Fan International Trade Co.,Ltd</t>
  </si>
  <si>
    <t>12 Floor 1501, No.71 Chaoyang Road,</t>
  </si>
  <si>
    <t>Chaoyang, Beijing</t>
  </si>
  <si>
    <t>P.R. China</t>
  </si>
  <si>
    <t>Shanghai Minmetals Development Ltd.</t>
  </si>
  <si>
    <t>Minmetals building, 757 Guangfu Road, 200070,</t>
  </si>
  <si>
    <t>Shanghai</t>
  </si>
  <si>
    <t>China</t>
  </si>
  <si>
    <t>企业地址</t>
  </si>
  <si>
    <t>根据企业名称生成，后期隐藏</t>
  </si>
  <si>
    <t xml:space="preserve">Goeffinger Str. 6, 88499, </t>
  </si>
  <si>
    <t xml:space="preserve">Riedlingen </t>
  </si>
  <si>
    <t>Germany</t>
  </si>
  <si>
    <t>Dairyfood GmbH                                             
Göffinger Str. 6,D-88499 Riedlingen, Germany;USt-ID: DE 289 910 284
Geschäftsführer: Georg Ruchti;Amtsgericht:Kiel;HRB 14884 KI;Tel.: +49 (0)4191/99 900;Fax: +49 (0)4191/88 051
Commerzbank Hamburg, IBAN: DE92 2214 1028 0379 9962 00,BIC: COBADEFFXXX</t>
  </si>
  <si>
    <t>企业城市</t>
  </si>
  <si>
    <t>AHCOF NEOCHAINS HOLDINGS CO., LTD.</t>
  </si>
  <si>
    <t>Hefei, Anhui,</t>
  </si>
  <si>
    <t>企业国家</t>
  </si>
  <si>
    <t>ZHEJIANG NONGDU AGRICULTURAL PRODUCTS CO.,LTD</t>
  </si>
  <si>
    <t>3rd Floor, Building 12, No.29 Xingye St.,</t>
  </si>
  <si>
    <t>Hangzhou,</t>
  </si>
  <si>
    <t>手动</t>
  </si>
  <si>
    <t>Health More (Tianjin) International Trade Co., Ltd.</t>
  </si>
  <si>
    <t>Tianjin</t>
  </si>
  <si>
    <t>采购合同
签字日期</t>
  </si>
  <si>
    <t>手动，是否与出售日期一致？</t>
  </si>
  <si>
    <t>Product:</t>
  </si>
  <si>
    <t>选择</t>
  </si>
  <si>
    <t>Brand:</t>
  </si>
  <si>
    <t xml:space="preserve">Quantity:  </t>
  </si>
  <si>
    <t>单位:MT</t>
  </si>
  <si>
    <t>Price:</t>
  </si>
  <si>
    <r>
      <rPr>
        <sz val="11"/>
        <color theme="1"/>
        <rFont val="宋体"/>
        <family val="3"/>
        <charset val="134"/>
      </rPr>
      <t>货币</t>
    </r>
    <r>
      <rPr>
        <sz val="11"/>
        <color theme="1"/>
        <rFont val="Times New Roman"/>
        <family val="1"/>
      </rPr>
      <t>:EUR</t>
    </r>
  </si>
  <si>
    <t>Total:</t>
  </si>
  <si>
    <t>自动运算</t>
  </si>
  <si>
    <t xml:space="preserve">Parity: </t>
  </si>
  <si>
    <t>DAP Beijing, China (Incoterms 2020)</t>
  </si>
  <si>
    <t>固定序列/手动填写新的港口，增加自动收集功能</t>
  </si>
  <si>
    <t xml:space="preserve">Packing: </t>
  </si>
  <si>
    <t>20,00 kg multilayer paper bags with PE-inliner,
New heat treated One-Way-Pallets 1000×1200</t>
  </si>
  <si>
    <t xml:space="preserve">Shipment:  </t>
  </si>
  <si>
    <r>
      <rPr>
        <sz val="11"/>
        <color theme="1"/>
        <rFont val="宋体"/>
        <family val="3"/>
        <charset val="134"/>
      </rPr>
      <t xml:space="preserve">自动 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3"/>
        <charset val="134"/>
      </rPr>
      <t>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mbria Math"/>
        <family val="1"/>
      </rPr>
      <t>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下下个月最后一天</t>
    </r>
  </si>
  <si>
    <t>Payment:</t>
  </si>
  <si>
    <t>下拉菜单</t>
  </si>
  <si>
    <r>
      <rPr>
        <b/>
        <sz val="11"/>
        <color theme="1"/>
        <rFont val="等线"/>
        <family val="3"/>
        <charset val="134"/>
      </rPr>
      <t>发票</t>
    </r>
    <r>
      <rPr>
        <b/>
        <sz val="11"/>
        <color theme="1"/>
        <rFont val="宋体"/>
        <family val="3"/>
        <charset val="134"/>
      </rPr>
      <t>区</t>
    </r>
  </si>
  <si>
    <t>工厂提供</t>
  </si>
  <si>
    <t>发票日期</t>
  </si>
  <si>
    <t>对应</t>
  </si>
  <si>
    <t>Invoice No：</t>
  </si>
  <si>
    <t xml:space="preserve">Origin: </t>
  </si>
  <si>
    <t>可以完全采用信用证上，多个发票可能开到同一个信用证，</t>
  </si>
  <si>
    <t>Shelf Life:</t>
  </si>
  <si>
    <t xml:space="preserve">L/C No.: </t>
  </si>
  <si>
    <t>手动，信用证20</t>
  </si>
  <si>
    <t>货柜+年+客户-第几个</t>
  </si>
  <si>
    <t>i.e. date</t>
  </si>
  <si>
    <t>BENEFICIARY’S CERTIFICATE</t>
  </si>
  <si>
    <t xml:space="preserve">Batch No.: </t>
  </si>
  <si>
    <t>批次号，工厂表格</t>
  </si>
  <si>
    <t>签订地点</t>
  </si>
  <si>
    <t>签订日期</t>
  </si>
  <si>
    <t>银行</t>
  </si>
  <si>
    <t>BIC(//)</t>
  </si>
  <si>
    <t>根据银行，检索，手写</t>
  </si>
  <si>
    <t>开证日期</t>
  </si>
  <si>
    <t>金额</t>
  </si>
  <si>
    <t>英文大写</t>
  </si>
  <si>
    <t>手动写，后面加设VBA</t>
  </si>
  <si>
    <t>账户对应地址</t>
  </si>
  <si>
    <t>销售证合同</t>
  </si>
  <si>
    <t>出售合同
签字日期</t>
  </si>
  <si>
    <t>收购合同
签字日期</t>
  </si>
  <si>
    <t>证书编号</t>
  </si>
  <si>
    <t>手动，后期进度表</t>
  </si>
  <si>
    <t>总产量</t>
  </si>
  <si>
    <t>生产年份</t>
  </si>
  <si>
    <t>申请日期</t>
  </si>
  <si>
    <t>销售证发票</t>
  </si>
  <si>
    <t>Between:</t>
  </si>
  <si>
    <t>Seller:</t>
  </si>
  <si>
    <t>Buyer:</t>
  </si>
  <si>
    <t>We hereby confirm the sale of:</t>
  </si>
  <si>
    <t>More or less clause:</t>
  </si>
  <si>
    <t xml:space="preserve">From </t>
  </si>
  <si>
    <t>To</t>
  </si>
  <si>
    <t xml:space="preserve">Date:   </t>
  </si>
  <si>
    <t xml:space="preserve">Invoice </t>
  </si>
  <si>
    <t>You bought according to our sale contract</t>
  </si>
  <si>
    <t xml:space="preserve">Total Quantity: </t>
  </si>
  <si>
    <t xml:space="preserve">Unit Price: </t>
  </si>
  <si>
    <t>Total Amount:</t>
  </si>
  <si>
    <r>
      <rPr>
        <b/>
        <sz val="11"/>
        <color theme="1"/>
        <rFont val="Times New Roman"/>
        <family val="1"/>
      </rPr>
      <t>Price/Trade Term</t>
    </r>
    <r>
      <rPr>
        <b/>
        <sz val="11"/>
        <color theme="1"/>
        <rFont val="宋体"/>
        <family val="3"/>
        <charset val="134"/>
      </rPr>
      <t>：</t>
    </r>
    <r>
      <rPr>
        <b/>
        <sz val="11"/>
        <color theme="1"/>
        <rFont val="Times New Roman"/>
        <family val="1"/>
      </rPr>
      <t xml:space="preserve"> </t>
    </r>
  </si>
  <si>
    <t>EUR</t>
  </si>
  <si>
    <t>FOR HEAT TREATMENT ACCORDING TO ISPM 15</t>
  </si>
  <si>
    <t>Herewith, we certify that the wood packing material/wooden pallets have been marked ‘IPPC‘</t>
  </si>
  <si>
    <t>and have been heated at a temperature of at least 56 °C for a period of at least 30 minutes.</t>
  </si>
  <si>
    <t>Total quantity:</t>
  </si>
  <si>
    <t>Batch No.:</t>
  </si>
  <si>
    <t>Price/Trade Term:</t>
  </si>
  <si>
    <t>Drawn under letter of credit no.</t>
  </si>
  <si>
    <t>, the</t>
  </si>
  <si>
    <t>For</t>
  </si>
  <si>
    <t>Place and date of issue</t>
  </si>
  <si>
    <t>amount in figures</t>
  </si>
  <si>
    <t>At/On</t>
  </si>
  <si>
    <t>Maturity</t>
  </si>
  <si>
    <t>pay this</t>
  </si>
  <si>
    <t>First</t>
  </si>
  <si>
    <t>Bill of Exchange</t>
  </si>
  <si>
    <t>(second  unpaid)</t>
  </si>
  <si>
    <t>to the order of</t>
  </si>
  <si>
    <t>ourselves</t>
  </si>
  <si>
    <t xml:space="preserve"> the sum of</t>
  </si>
  <si>
    <t>Amount in words</t>
  </si>
  <si>
    <t>at</t>
  </si>
  <si>
    <t>payable at</t>
  </si>
  <si>
    <t>Place</t>
  </si>
  <si>
    <t>with</t>
  </si>
  <si>
    <t>Name and adress of the Bank</t>
  </si>
  <si>
    <t>to the debit of account No.</t>
  </si>
  <si>
    <t>Second</t>
  </si>
  <si>
    <t>(first  unpaid)</t>
  </si>
  <si>
    <t>Muehlenstrasse 26</t>
  </si>
  <si>
    <t>有机产品销售证书制作申请表</t>
  </si>
  <si>
    <t>Application form of transaction certificate for organic product</t>
  </si>
  <si>
    <t>获证组织名称
Name of certified organization</t>
  </si>
  <si>
    <t>联系人
Contact person</t>
  </si>
  <si>
    <t>丛刚</t>
  </si>
  <si>
    <t>销售单位地址
Address of the sale organization</t>
  </si>
  <si>
    <t>联系电话
Telephone</t>
  </si>
  <si>
    <t>产品名称
Name of the product</t>
  </si>
  <si>
    <t>认证类别
Certification category</t>
  </si>
  <si>
    <t>Organic Product</t>
  </si>
  <si>
    <t>认证依据
Certification basis</t>
  </si>
  <si>
    <r>
      <rPr>
        <sz val="15"/>
        <color theme="1"/>
        <rFont val="宋体"/>
        <family val="3"/>
        <charset val="134"/>
      </rPr>
      <t>GB/T19630-2019, CNCA-N-009</t>
    </r>
    <r>
      <rPr>
        <sz val="15"/>
        <color theme="1"/>
        <rFont val="宋体"/>
        <family val="3"/>
        <charset val="134"/>
      </rPr>
      <t>：</t>
    </r>
    <r>
      <rPr>
        <sz val="15"/>
        <color theme="1"/>
        <rFont val="Times New Roman"/>
        <family val="1"/>
      </rPr>
      <t>2019, and other applicable laws and regulations</t>
    </r>
  </si>
  <si>
    <t>证书编号
Certificate No.</t>
  </si>
  <si>
    <t>总产量
Total quantity of certified product</t>
  </si>
  <si>
    <t>此次销售量
Sold quantity for this transaction</t>
  </si>
  <si>
    <t>销售产品批号
Batch No. of the sold product</t>
  </si>
  <si>
    <t>生产年份
Year of Production</t>
  </si>
  <si>
    <t>发票号
Invoice No.</t>
  </si>
  <si>
    <r>
      <rPr>
        <sz val="15"/>
        <color theme="1"/>
        <rFont val="等线"/>
        <family val="3"/>
        <charset val="134"/>
      </rPr>
      <t>合同编号</t>
    </r>
    <r>
      <rPr>
        <sz val="15"/>
        <color theme="1"/>
        <rFont val="Times New Roman"/>
        <family val="1"/>
      </rPr>
      <t xml:space="preserve">
Contract No.</t>
    </r>
  </si>
  <si>
    <t>交易日期或期限
Transaction date or period</t>
  </si>
  <si>
    <t>购买单位
Buyer</t>
  </si>
  <si>
    <t>备注
Note</t>
  </si>
  <si>
    <t>审批结论（由认证机构填写）：</t>
  </si>
  <si>
    <t>Conclusion of review and approvement (filled by the certification body)</t>
  </si>
  <si>
    <r>
      <rPr>
        <sz val="12"/>
        <color theme="1"/>
        <rFont val="宋体"/>
        <family val="3"/>
        <charset val="134"/>
      </rPr>
      <t xml:space="preserve">                                审批人日期</t>
    </r>
    <r>
      <rPr>
        <sz val="12"/>
        <color theme="1"/>
        <rFont val="Times New Roman"/>
        <family val="1"/>
      </rPr>
      <t xml:space="preserve"> reviewer and approver (date)</t>
    </r>
    <r>
      <rPr>
        <sz val="12"/>
        <color theme="1"/>
        <rFont val="宋体"/>
        <family val="3"/>
        <charset val="134"/>
      </rPr>
      <t>：</t>
    </r>
    <r>
      <rPr>
        <u/>
        <sz val="12"/>
        <color theme="1"/>
        <rFont val="宋体"/>
        <family val="3"/>
        <charset val="134"/>
      </rPr>
      <t xml:space="preserve">          </t>
    </r>
  </si>
  <si>
    <r>
      <rPr>
        <sz val="12"/>
        <color theme="1"/>
        <rFont val="等线"/>
        <family val="3"/>
        <charset val="134"/>
      </rPr>
      <t>注：</t>
    </r>
    <r>
      <rPr>
        <sz val="12"/>
        <color theme="1"/>
        <rFont val="Times New Roman"/>
        <family val="1"/>
      </rPr>
      <t>1</t>
    </r>
    <r>
      <rPr>
        <sz val="12"/>
        <color theme="1"/>
        <rFont val="等线"/>
        <family val="3"/>
        <charset val="134"/>
      </rPr>
      <t>、销售证书将上报</t>
    </r>
    <r>
      <rPr>
        <sz val="12"/>
        <color theme="1"/>
        <rFont val="Times New Roman"/>
        <family val="1"/>
      </rPr>
      <t>CNCA</t>
    </r>
    <r>
      <rPr>
        <sz val="12"/>
        <color theme="1"/>
        <rFont val="等线"/>
        <family val="3"/>
        <charset val="134"/>
      </rPr>
      <t>食农系统，请如实填写次表并提供真实详细的信息。</t>
    </r>
    <r>
      <rPr>
        <sz val="12"/>
        <color theme="1"/>
        <rFont val="Times New Roman"/>
        <family val="1"/>
      </rPr>
      <t xml:space="preserve">
2</t>
    </r>
    <r>
      <rPr>
        <sz val="12"/>
        <color theme="1"/>
        <rFont val="等线"/>
        <family val="3"/>
        <charset val="134"/>
      </rPr>
      <t>、本表填写内容必须齐全，随同申请书需提供销售合同、销售发票复印件或运输单。</t>
    </r>
    <r>
      <rPr>
        <sz val="12"/>
        <color theme="1"/>
        <rFont val="Times New Roman"/>
        <family val="1"/>
      </rPr>
      <t xml:space="preserve">
3</t>
    </r>
    <r>
      <rPr>
        <sz val="12"/>
        <color theme="1"/>
        <rFont val="等线"/>
        <family val="3"/>
        <charset val="134"/>
      </rPr>
      <t>、每张销售证书收费</t>
    </r>
    <r>
      <rPr>
        <sz val="12"/>
        <color theme="1"/>
        <rFont val="Times New Roman"/>
        <family val="1"/>
      </rPr>
      <t>200.00</t>
    </r>
    <r>
      <rPr>
        <sz val="12"/>
        <color theme="1"/>
        <rFont val="等线"/>
        <family val="3"/>
        <charset val="134"/>
      </rPr>
      <t>。</t>
    </r>
    <r>
      <rPr>
        <sz val="12"/>
        <color theme="1"/>
        <rFont val="Times New Roman"/>
        <family val="1"/>
      </rPr>
      <t xml:space="preserve">
Note:	
1.Transaction certificate will be uploaded to CNCA food and agriculture system, please fill the form authentically and provide full and accurate information;
2.The information filled in this form shall be complete, and sale contract, copy of sale invoice and transportation note shall be attached with the application form;
3.200.00 will be charged for each transaction certification.</t>
    </r>
  </si>
  <si>
    <r>
      <rPr>
        <sz val="14"/>
        <color theme="1"/>
        <rFont val="宋体"/>
        <family val="3"/>
        <charset val="134"/>
      </rPr>
      <t>单位负责人签字</t>
    </r>
    <r>
      <rPr>
        <sz val="14"/>
        <color theme="1"/>
        <rFont val="Times New Roman"/>
        <family val="1"/>
      </rPr>
      <t>/</t>
    </r>
    <r>
      <rPr>
        <sz val="14"/>
        <color theme="1"/>
        <rFont val="宋体"/>
        <family val="3"/>
        <charset val="134"/>
      </rPr>
      <t>公章</t>
    </r>
    <r>
      <rPr>
        <sz val="14"/>
        <color theme="1"/>
        <rFont val="Times New Roman"/>
        <family val="1"/>
      </rPr>
      <t xml:space="preserve"> (Signature of responsible person/stamp)</t>
    </r>
    <r>
      <rPr>
        <sz val="14"/>
        <color theme="1"/>
        <rFont val="宋体"/>
        <family val="3"/>
        <charset val="134"/>
      </rPr>
      <t>：</t>
    </r>
  </si>
  <si>
    <r>
      <rPr>
        <sz val="14"/>
        <color theme="1"/>
        <rFont val="宋体"/>
        <family val="3"/>
        <charset val="134"/>
      </rPr>
      <t>日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family val="3"/>
        <charset val="134"/>
      </rPr>
      <t>期</t>
    </r>
    <r>
      <rPr>
        <sz val="14"/>
        <color theme="1"/>
        <rFont val="Times New Roman"/>
        <family val="1"/>
      </rPr>
      <t>(Date)</t>
    </r>
    <r>
      <rPr>
        <sz val="14"/>
        <color theme="1"/>
        <rFont val="宋体"/>
        <family val="3"/>
        <charset val="134"/>
      </rPr>
      <t>：</t>
    </r>
  </si>
  <si>
    <t>DE-ÖKO-006</t>
  </si>
  <si>
    <t>CIF Tianjin, Xingang,China (Incoterms 2020)</t>
  </si>
  <si>
    <t>DAP Shanghai, China (Incoterms 2020)</t>
  </si>
  <si>
    <t>特别逻辑选择</t>
    <phoneticPr fontId="38" type="noConversion"/>
  </si>
  <si>
    <t>出售企业名称</t>
    <phoneticPr fontId="38" type="noConversion"/>
  </si>
  <si>
    <t>采购企业名称</t>
    <phoneticPr fontId="38" type="noConversion"/>
  </si>
  <si>
    <t xml:space="preserve">Ship on 
board date </t>
    <phoneticPr fontId="38" type="noConversion"/>
  </si>
  <si>
    <t>初始</t>
    <phoneticPr fontId="38" type="noConversion"/>
  </si>
  <si>
    <t>选择</t>
    <phoneticPr fontId="38" type="noConversion"/>
  </si>
  <si>
    <t>合同日期</t>
    <phoneticPr fontId="38" type="noConversion"/>
  </si>
  <si>
    <t>卖方名称</t>
    <phoneticPr fontId="38" type="noConversion"/>
  </si>
  <si>
    <t>Price:</t>
    <phoneticPr fontId="38" type="noConversion"/>
  </si>
  <si>
    <t>Total:</t>
    <phoneticPr fontId="38" type="noConversion"/>
  </si>
  <si>
    <t>Product:</t>
    <phoneticPr fontId="38" type="noConversion"/>
  </si>
  <si>
    <t>bio lactose</t>
    <phoneticPr fontId="42" type="noConversion"/>
  </si>
  <si>
    <t>bio D90</t>
    <phoneticPr fontId="42" type="noConversion"/>
  </si>
  <si>
    <t>WPCi80</t>
    <phoneticPr fontId="42" type="noConversion"/>
  </si>
  <si>
    <t>WPH8310</t>
    <phoneticPr fontId="42" type="noConversion"/>
  </si>
  <si>
    <t>WPH8210</t>
    <phoneticPr fontId="42" type="noConversion"/>
  </si>
  <si>
    <t>lactose</t>
  </si>
  <si>
    <t>organic lactose</t>
    <phoneticPr fontId="42" type="noConversion"/>
  </si>
  <si>
    <t>organic demineralised whey powder 90%</t>
    <phoneticPr fontId="42" type="noConversion"/>
  </si>
  <si>
    <t>Whey protein concentrate 80 instant</t>
    <phoneticPr fontId="38" type="noConversion"/>
  </si>
  <si>
    <t>Whey protein concentrate 80-Hydrolyzed 8310</t>
    <phoneticPr fontId="38" type="noConversion"/>
  </si>
  <si>
    <r>
      <t xml:space="preserve">Packing: </t>
    </r>
    <r>
      <rPr>
        <b/>
        <sz val="11"/>
        <color theme="1"/>
        <rFont val="宋体"/>
        <family val="1"/>
        <charset val="134"/>
      </rPr>
      <t>（自动）</t>
    </r>
    <phoneticPr fontId="38" type="noConversion"/>
  </si>
  <si>
    <t>More or less clause:</t>
    <phoneticPr fontId="38" type="noConversion"/>
  </si>
  <si>
    <t>Quantity:</t>
    <phoneticPr fontId="38" type="noConversion"/>
  </si>
  <si>
    <t>wpc、wph：20kg，其余产品25kg/袋</t>
    <phoneticPr fontId="38" type="noConversion"/>
  </si>
  <si>
    <t>25,00 kg multilayer paper bags with PE-inliner,
New heat treated One-Way-Pallets 1000×1200</t>
    <phoneticPr fontId="38" type="noConversion"/>
  </si>
  <si>
    <t>Whey protein concentrate 80-Hydrolyzed 8210</t>
    <phoneticPr fontId="38" type="noConversion"/>
  </si>
  <si>
    <t>Container No.货柜号</t>
    <phoneticPr fontId="38" type="noConversion"/>
  </si>
  <si>
    <t>Customer客户</t>
    <phoneticPr fontId="38" type="noConversion"/>
  </si>
  <si>
    <r>
      <t>brand</t>
    </r>
    <r>
      <rPr>
        <b/>
        <sz val="11"/>
        <color theme="1"/>
        <rFont val="微软雅黑"/>
        <family val="1"/>
        <charset val="134"/>
      </rPr>
      <t>品牌</t>
    </r>
    <phoneticPr fontId="38" type="noConversion"/>
  </si>
  <si>
    <t>Product</t>
    <phoneticPr fontId="38" type="noConversion"/>
  </si>
  <si>
    <r>
      <t xml:space="preserve">goods declaration price </t>
    </r>
    <r>
      <rPr>
        <b/>
        <sz val="11"/>
        <color theme="1"/>
        <rFont val="微软雅黑"/>
        <family val="1"/>
        <charset val="134"/>
      </rPr>
      <t>价格</t>
    </r>
    <r>
      <rPr>
        <b/>
        <sz val="11"/>
        <color theme="1"/>
        <rFont val="Times New Roman"/>
        <family val="1"/>
      </rPr>
      <t>(€/kg)</t>
    </r>
    <phoneticPr fontId="38" type="noConversion"/>
  </si>
  <si>
    <t>Quantity</t>
    <phoneticPr fontId="38" type="noConversion"/>
  </si>
  <si>
    <t>More or less clause</t>
    <phoneticPr fontId="38" type="noConversion"/>
  </si>
  <si>
    <t>Parity</t>
    <phoneticPr fontId="38" type="noConversion"/>
  </si>
  <si>
    <t>Payment</t>
    <phoneticPr fontId="38" type="noConversion"/>
  </si>
  <si>
    <t>Contact No.合同号</t>
    <phoneticPr fontId="38" type="noConversion"/>
  </si>
  <si>
    <t>Shelf Life:</t>
    <phoneticPr fontId="38" type="noConversion"/>
  </si>
  <si>
    <t>手动，信用证45A（有概率不写</t>
    <phoneticPr fontId="38" type="noConversion"/>
  </si>
  <si>
    <t xml:space="preserve">Room 141B,Building C,Tianjin Youth Entrepreneurship Park, No.85 Qingnian Road,Lingdangge Street, Hongqiao District, </t>
    <phoneticPr fontId="38" type="noConversion"/>
  </si>
  <si>
    <t>32F, BUILDING NO. 1, AHCOF CENTER, NO. 986, HUAYUAN AVENUE,</t>
    <phoneticPr fontId="38" type="noConversion"/>
  </si>
  <si>
    <t>Dairyfood GmbH</t>
    <phoneticPr fontId="38" type="noConversion"/>
  </si>
  <si>
    <t>Place and date of issue</t>
    <phoneticPr fontId="38" type="noConversion"/>
  </si>
  <si>
    <t>信用证42A，可能没有，银行英文全称，及所在国家</t>
    <phoneticPr fontId="38" type="noConversion"/>
  </si>
  <si>
    <t>BKCHCNBJ300 (Bank of China, Shanghai Branch/300/Shanghai)</t>
    <phoneticPr fontId="38" type="noConversion"/>
  </si>
  <si>
    <t>Bank of China, Shanghai Branch,China</t>
    <phoneticPr fontId="38" type="noConversion"/>
  </si>
  <si>
    <t>Shanghai, China</t>
    <phoneticPr fontId="38" type="noConversion"/>
  </si>
  <si>
    <t>银行</t>
    <phoneticPr fontId="38" type="noConversion"/>
  </si>
  <si>
    <t>PSBCCNBJXXX(POSTAL SAVINGS BANK OF CHINA/XXX/Beijing)</t>
    <phoneticPr fontId="38" type="noConversion"/>
  </si>
  <si>
    <t>Beijing,China</t>
    <phoneticPr fontId="38" type="noConversion"/>
  </si>
  <si>
    <t>POSTAL SAVINGS BANK OF CHINA</t>
    <phoneticPr fontId="38" type="noConversion"/>
  </si>
  <si>
    <t>根据SWIFT代码生成</t>
    <phoneticPr fontId="38" type="noConversion"/>
  </si>
  <si>
    <t>信用证,申请日期31C，格式转，</t>
    <phoneticPr fontId="38" type="noConversion"/>
  </si>
  <si>
    <t>示例：2025/9/xx</t>
    <phoneticPr fontId="38" type="noConversion"/>
  </si>
  <si>
    <t>24 months from date of manufacture</t>
    <phoneticPr fontId="38" type="noConversion"/>
  </si>
  <si>
    <t>信用证,金额32B的金额有可能是多个货柜的金额</t>
    <phoneticPr fontId="38" type="noConversion"/>
  </si>
  <si>
    <t>与发票金额一致</t>
    <phoneticPr fontId="38" type="noConversion"/>
  </si>
  <si>
    <t>C253-34</t>
  </si>
  <si>
    <t>AC251001</t>
  </si>
  <si>
    <t>2025.10.01</t>
  </si>
  <si>
    <t>LVEO</t>
  </si>
  <si>
    <t>5% more or less allowed both for quantity and amount</t>
  </si>
  <si>
    <t>L/C 90 days after B/L date</t>
    <phoneticPr fontId="38" type="noConversion"/>
  </si>
  <si>
    <t>organic demineralised whey powder 90%</t>
  </si>
  <si>
    <t>POSTAL SAVINGS BANK OF CHINA</t>
  </si>
  <si>
    <t>Bank of China</t>
  </si>
  <si>
    <t>Shanghai</t>
    <phoneticPr fontId="38" type="noConversion"/>
  </si>
  <si>
    <t>Beijing</t>
    <phoneticPr fontId="38" type="noConversion"/>
  </si>
  <si>
    <t>Federal Republic of Germany</t>
    <phoneticPr fontId="38" type="noConversion"/>
  </si>
  <si>
    <t>发票文件名</t>
    <phoneticPr fontId="38" type="noConversion"/>
  </si>
  <si>
    <t>C253-35-invoice AI251002-WPCi80-AC251002</t>
    <phoneticPr fontId="38" type="noConversion"/>
  </si>
  <si>
    <t>IPPC文件名</t>
    <phoneticPr fontId="38" type="noConversion"/>
  </si>
  <si>
    <t>C253-35-IPPC</t>
    <phoneticPr fontId="38" type="noConversion"/>
  </si>
  <si>
    <t>汇票文件名</t>
    <phoneticPr fontId="38" type="noConversion"/>
  </si>
  <si>
    <t>C253-35-LC0886925000731</t>
    <phoneticPr fontId="38" type="noConversion"/>
  </si>
  <si>
    <t>BANK OF COMMUNICATIONS</t>
    <phoneticPr fontId="38" type="noConversion"/>
  </si>
  <si>
    <t>COMMCNSHNBO(BANK OF COMMUNICATIONS,NINGBO BRANCH/NBO/NINGBO)</t>
    <phoneticPr fontId="38" type="noConversion"/>
  </si>
  <si>
    <t>BKCHCNBJ780 (Bank of China, Shanghai Branch/780/Hefei)</t>
    <phoneticPr fontId="38" type="noConversion"/>
  </si>
  <si>
    <t>Hefei</t>
    <phoneticPr fontId="38" type="noConversion"/>
  </si>
  <si>
    <t>No. 455, Haiyan North Road, Yinzhou District, Ningbo, Zhejiang Province,  China</t>
    <phoneticPr fontId="38" type="noConversion"/>
  </si>
  <si>
    <t>Ningbo</t>
    <phoneticPr fontId="38" type="noConversion"/>
  </si>
  <si>
    <t>详细地址</t>
    <phoneticPr fontId="38" type="noConversion"/>
  </si>
  <si>
    <t>银行城市</t>
    <phoneticPr fontId="38" type="noConversion"/>
  </si>
  <si>
    <t>Brand:</t>
    <phoneticPr fontId="38" type="noConversion"/>
  </si>
  <si>
    <t>Contract No.:</t>
    <phoneticPr fontId="38" type="noConversion"/>
  </si>
  <si>
    <t>Germany</t>
    <phoneticPr fontId="38" type="noConversion"/>
  </si>
  <si>
    <t>手写，年月第几个，根据shipment进行，根据提货时间进行排序</t>
    <phoneticPr fontId="38" type="noConversion"/>
  </si>
  <si>
    <t>BKCHCNBJ92A (Bank of China, Ningbo Branch/92A/Ningbo)</t>
    <phoneticPr fontId="38" type="noConversion"/>
  </si>
  <si>
    <t>255 Dingtai Road, Yinzhou District, Ningbo, Zhejiang Province, China</t>
    <phoneticPr fontId="38" type="noConversion"/>
  </si>
  <si>
    <t>1688 Yungu Road, Binhu New District, Hefei City, Anhui Province, China</t>
    <phoneticPr fontId="38" type="noConversion"/>
  </si>
  <si>
    <t>Ningbo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</si>
</sst>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.00\ [$€-1]_-;\-* #,##0.00\ [$€-1]_-;_-* &quot;-&quot;??\ [$€-1]_-"/>
    <numFmt numFmtId="177" formatCode="[$-F800]dddd\,\ mmmm\ dd\,\ yyyy"/>
    <numFmt numFmtId="178" formatCode="#,##0.00\ [$€-1];\-#,##0.00\ [$€-1]"/>
    <numFmt numFmtId="179" formatCode="#,##0.00_);[Red]\(#,##0.00\)"/>
  </numFmts>
  <fonts count="45" x14ac:knownFonts="1">
    <font>
      <sz val="11"/>
      <color theme="1"/>
      <name val="等线"/>
      <charset val="134"/>
      <scheme val="minor"/>
    </font>
    <font>
      <b/>
      <sz val="11"/>
      <color theme="1"/>
      <name val="Cambria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2" tint="-0.249977111117893"/>
      <name val="Cambria"/>
      <family val="1"/>
    </font>
    <font>
      <sz val="11"/>
      <name val="Times New Roman"/>
      <family val="1"/>
    </font>
    <font>
      <sz val="11"/>
      <color theme="1"/>
      <name val="Cambria"/>
      <family val="1"/>
    </font>
    <font>
      <b/>
      <sz val="2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5"/>
      <color theme="1"/>
      <name val="宋体"/>
      <family val="3"/>
      <charset val="134"/>
    </font>
    <font>
      <sz val="15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0.5"/>
      <color theme="1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"/>
      <name val="Arial"/>
      <family val="2"/>
    </font>
    <font>
      <sz val="10"/>
      <name val="宋体"/>
      <family val="3"/>
      <charset val="134"/>
    </font>
    <font>
      <i/>
      <sz val="16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theme="1"/>
      <name val="等线"/>
      <family val="3"/>
      <charset val="134"/>
    </font>
    <font>
      <sz val="15"/>
      <color theme="1"/>
      <name val="等线"/>
      <family val="3"/>
      <charset val="134"/>
    </font>
    <font>
      <u/>
      <sz val="12"/>
      <color theme="1"/>
      <name val="宋体"/>
      <family val="3"/>
      <charset val="134"/>
    </font>
    <font>
      <sz val="11"/>
      <color theme="1"/>
      <name val="Cambria Math"/>
      <family val="1"/>
    </font>
    <font>
      <b/>
      <sz val="11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1"/>
      <charset val="134"/>
    </font>
    <font>
      <b/>
      <sz val="11"/>
      <color theme="1"/>
      <name val="微软雅黑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8" fillId="0" borderId="0" applyFont="0" applyFill="0" applyBorder="0" applyAlignment="0" applyProtection="0"/>
    <xf numFmtId="0" fontId="18" fillId="0" borderId="0"/>
  </cellStyleXfs>
  <cellXfs count="16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vertical="center"/>
    </xf>
    <xf numFmtId="14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/>
    </xf>
    <xf numFmtId="177" fontId="0" fillId="0" borderId="0" xfId="0" applyNumberForma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0" xfId="0" applyFont="1"/>
    <xf numFmtId="0" fontId="4" fillId="0" borderId="0" xfId="0" applyFont="1" applyAlignment="1">
      <alignment horizontal="left" vertical="center" indent="15"/>
    </xf>
    <xf numFmtId="14" fontId="3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2"/>
    <xf numFmtId="0" fontId="18" fillId="0" borderId="0" xfId="2" applyAlignment="1">
      <alignment horizontal="left"/>
    </xf>
    <xf numFmtId="0" fontId="19" fillId="0" borderId="0" xfId="2" applyFont="1"/>
    <xf numFmtId="0" fontId="18" fillId="0" borderId="0" xfId="2" applyAlignment="1">
      <alignment horizontal="left" vertical="center" textRotation="90"/>
    </xf>
    <xf numFmtId="0" fontId="18" fillId="0" borderId="0" xfId="2" applyAlignment="1">
      <alignment horizontal="left" vertical="center"/>
    </xf>
    <xf numFmtId="0" fontId="19" fillId="0" borderId="1" xfId="2" applyFont="1" applyBorder="1"/>
    <xf numFmtId="0" fontId="19" fillId="0" borderId="0" xfId="2" applyFont="1" applyAlignment="1">
      <alignment horizontal="center"/>
    </xf>
    <xf numFmtId="0" fontId="20" fillId="0" borderId="0" xfId="2" applyFont="1"/>
    <xf numFmtId="0" fontId="18" fillId="0" borderId="1" xfId="2" applyBorder="1"/>
    <xf numFmtId="0" fontId="19" fillId="2" borderId="1" xfId="2" applyFont="1" applyFill="1" applyBorder="1"/>
    <xf numFmtId="0" fontId="18" fillId="0" borderId="10" xfId="2" applyBorder="1" applyAlignment="1">
      <alignment horizontal="left" vertical="center" textRotation="90"/>
    </xf>
    <xf numFmtId="0" fontId="19" fillId="0" borderId="10" xfId="2" applyFont="1" applyBorder="1"/>
    <xf numFmtId="0" fontId="18" fillId="0" borderId="11" xfId="2" applyBorder="1"/>
    <xf numFmtId="0" fontId="18" fillId="0" borderId="0" xfId="2" applyAlignment="1">
      <alignment horizontal="center" vertical="center" textRotation="90"/>
    </xf>
    <xf numFmtId="58" fontId="19" fillId="0" borderId="1" xfId="2" applyNumberFormat="1" applyFont="1" applyBorder="1" applyAlignment="1">
      <alignment horizontal="center"/>
    </xf>
    <xf numFmtId="178" fontId="19" fillId="2" borderId="1" xfId="1" applyNumberFormat="1" applyFont="1" applyFill="1" applyBorder="1" applyAlignment="1">
      <alignment horizontal="center"/>
    </xf>
    <xf numFmtId="0" fontId="21" fillId="0" borderId="1" xfId="2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22" fillId="0" borderId="0" xfId="2" applyFont="1"/>
    <xf numFmtId="0" fontId="19" fillId="0" borderId="12" xfId="2" applyFont="1" applyBorder="1"/>
    <xf numFmtId="0" fontId="19" fillId="0" borderId="13" xfId="2" applyFont="1" applyBorder="1"/>
    <xf numFmtId="0" fontId="18" fillId="0" borderId="13" xfId="2" applyBorder="1"/>
    <xf numFmtId="178" fontId="19" fillId="2" borderId="1" xfId="2" applyNumberFormat="1" applyFont="1" applyFill="1" applyBorder="1" applyAlignment="1">
      <alignment horizontal="center"/>
    </xf>
    <xf numFmtId="0" fontId="5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0" xfId="0" applyFont="1"/>
    <xf numFmtId="0" fontId="28" fillId="0" borderId="0" xfId="0" applyFont="1"/>
    <xf numFmtId="0" fontId="0" fillId="3" borderId="0" xfId="0" applyFill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left" wrapText="1"/>
    </xf>
    <xf numFmtId="14" fontId="2" fillId="3" borderId="3" xfId="0" applyNumberFormat="1" applyFont="1" applyFill="1" applyBorder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4" fontId="29" fillId="0" borderId="0" xfId="0" applyNumberFormat="1" applyFont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179" fontId="2" fillId="3" borderId="3" xfId="0" applyNumberFormat="1" applyFont="1" applyFill="1" applyBorder="1" applyAlignment="1">
      <alignment horizontal="left" vertical="center"/>
    </xf>
    <xf numFmtId="4" fontId="2" fillId="3" borderId="3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9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/>
    </xf>
    <xf numFmtId="14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 wrapText="1"/>
    </xf>
    <xf numFmtId="14" fontId="2" fillId="4" borderId="3" xfId="0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4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14" fontId="0" fillId="3" borderId="3" xfId="0" applyNumberFormat="1" applyFill="1" applyBorder="1" applyAlignment="1">
      <alignment horizontal="left"/>
    </xf>
    <xf numFmtId="14" fontId="0" fillId="3" borderId="0" xfId="0" applyNumberFormat="1" applyFill="1" applyAlignment="1">
      <alignment horizontal="left"/>
    </xf>
    <xf numFmtId="0" fontId="26" fillId="5" borderId="0" xfId="0" applyFont="1" applyFill="1" applyAlignment="1">
      <alignment horizontal="left"/>
    </xf>
    <xf numFmtId="0" fontId="26" fillId="5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5" borderId="0" xfId="0" applyFont="1" applyFill="1" applyAlignment="1">
      <alignment horizontal="left"/>
    </xf>
    <xf numFmtId="14" fontId="26" fillId="5" borderId="0" xfId="0" applyNumberFormat="1" applyFont="1" applyFill="1" applyAlignment="1">
      <alignment horizontal="left" vertical="center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2" fillId="3" borderId="3" xfId="0" applyFont="1" applyFill="1" applyBorder="1"/>
    <xf numFmtId="0" fontId="5" fillId="3" borderId="3" xfId="0" applyFont="1" applyFill="1" applyBorder="1" applyAlignment="1">
      <alignment horizontal="left" wrapText="1"/>
    </xf>
    <xf numFmtId="0" fontId="40" fillId="0" borderId="0" xfId="0" applyFont="1" applyAlignment="1">
      <alignment horizontal="left"/>
    </xf>
    <xf numFmtId="0" fontId="40" fillId="3" borderId="3" xfId="0" applyFont="1" applyFill="1" applyBorder="1" applyAlignment="1">
      <alignment horizontal="left"/>
    </xf>
    <xf numFmtId="0" fontId="40" fillId="4" borderId="3" xfId="0" applyFont="1" applyFill="1" applyBorder="1" applyAlignment="1">
      <alignment horizontal="left" wrapText="1"/>
    </xf>
    <xf numFmtId="14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3" borderId="3" xfId="0" applyFont="1" applyFill="1" applyBorder="1" applyAlignment="1">
      <alignment horizontal="left" wrapText="1"/>
    </xf>
    <xf numFmtId="0" fontId="0" fillId="5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center"/>
    </xf>
    <xf numFmtId="14" fontId="0" fillId="4" borderId="0" xfId="0" applyNumberFormat="1" applyFill="1" applyAlignment="1">
      <alignment horizontal="left"/>
    </xf>
    <xf numFmtId="14" fontId="2" fillId="4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wrapText="1"/>
    </xf>
    <xf numFmtId="0" fontId="4" fillId="3" borderId="3" xfId="0" applyFont="1" applyFill="1" applyBorder="1" applyAlignment="1">
      <alignment horizontal="right" vertical="center"/>
    </xf>
    <xf numFmtId="4" fontId="2" fillId="3" borderId="0" xfId="0" applyNumberFormat="1" applyFont="1" applyFill="1" applyAlignment="1">
      <alignment horizontal="left" vertical="center"/>
    </xf>
    <xf numFmtId="0" fontId="40" fillId="0" borderId="0" xfId="0" applyFont="1"/>
    <xf numFmtId="14" fontId="40" fillId="4" borderId="0" xfId="0" applyNumberFormat="1" applyFont="1" applyFill="1" applyAlignment="1">
      <alignment horizontal="left"/>
    </xf>
    <xf numFmtId="0" fontId="40" fillId="4" borderId="0" xfId="0" applyFont="1" applyFill="1" applyAlignment="1">
      <alignment horizontal="left"/>
    </xf>
    <xf numFmtId="0" fontId="40" fillId="4" borderId="3" xfId="0" applyFont="1" applyFill="1" applyBorder="1" applyAlignment="1">
      <alignment horizontal="left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4" fillId="4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8" fillId="0" borderId="0" xfId="2" applyAlignment="1">
      <alignment vertical="top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17" fontId="12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5" fillId="0" borderId="0" xfId="0" applyNumberFormat="1" applyFont="1" applyAlignment="1">
      <alignment horizontal="left"/>
    </xf>
  </cellXfs>
  <cellStyles count="3">
    <cellStyle name="Euro" xfId="1" xr:uid="{00000000-0005-0000-0000-000031000000}"/>
    <cellStyle name="常规" xfId="0" builtinId="0"/>
    <cellStyle name="常规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560917</xdr:colOff>
      <xdr:row>17</xdr:row>
      <xdr:rowOff>57150</xdr:rowOff>
    </xdr:from>
    <xdr:ext cx="1084791" cy="582930"/>
    <xdr:pic>
      <xdr:nvPicPr>
        <xdr:cNvPr id="3" name="LVEO">
          <a:extLst>
            <a:ext uri="{FF2B5EF4-FFF2-40B4-BE49-F238E27FC236}">
              <a16:creationId xmlns:a16="http://schemas.microsoft.com/office/drawing/2014/main" id="{67CD2E56-4EDD-48B0-831C-F9E4578A1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8417" y="5803900"/>
          <a:ext cx="1084791" cy="5829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192617</xdr:colOff>
      <xdr:row>18</xdr:row>
      <xdr:rowOff>127000</xdr:rowOff>
    </xdr:from>
    <xdr:ext cx="1631356" cy="586791"/>
    <xdr:pic>
      <xdr:nvPicPr>
        <xdr:cNvPr id="4" name="FOONEXUS">
          <a:extLst>
            <a:ext uri="{FF2B5EF4-FFF2-40B4-BE49-F238E27FC236}">
              <a16:creationId xmlns:a16="http://schemas.microsoft.com/office/drawing/2014/main" id="{4A29B219-0D12-4EB1-B675-8DC94BC52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117" y="6942667"/>
          <a:ext cx="1631356" cy="586791"/>
        </a:xfrm>
        <a:prstGeom prst="rect">
          <a:avLst/>
        </a:prstGeom>
      </xdr:spPr>
    </xdr:pic>
    <xdr:clientData/>
  </xdr:oneCellAnchor>
  <xdr:oneCellAnchor>
    <xdr:from>
      <xdr:col>6</xdr:col>
      <xdr:colOff>179916</xdr:colOff>
      <xdr:row>19</xdr:row>
      <xdr:rowOff>158750</xdr:rowOff>
    </xdr:from>
    <xdr:ext cx="1727200" cy="343535"/>
    <xdr:pic>
      <xdr:nvPicPr>
        <xdr:cNvPr id="6" name="NEULINK">
          <a:extLst>
            <a:ext uri="{FF2B5EF4-FFF2-40B4-BE49-F238E27FC236}">
              <a16:creationId xmlns:a16="http://schemas.microsoft.com/office/drawing/2014/main" id="{8362EDD2-4494-4DBA-935D-5D7AB5364EFA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07416" y="8043333"/>
          <a:ext cx="1727200" cy="34353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201083</xdr:colOff>
      <xdr:row>25</xdr:row>
      <xdr:rowOff>116417</xdr:rowOff>
    </xdr:from>
    <xdr:to>
      <xdr:col>7</xdr:col>
      <xdr:colOff>418531</xdr:colOff>
      <xdr:row>31</xdr:row>
      <xdr:rowOff>169334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3D39206-0A76-4962-B172-F92B299C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9969500"/>
          <a:ext cx="2281198" cy="1132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560917</xdr:colOff>
      <xdr:row>0</xdr:row>
      <xdr:rowOff>57150</xdr:rowOff>
    </xdr:from>
    <xdr:ext cx="1084791" cy="582930"/>
    <xdr:pic>
      <xdr:nvPicPr>
        <xdr:cNvPr id="3" name="LVEO">
          <a:extLst>
            <a:ext uri="{FF2B5EF4-FFF2-40B4-BE49-F238E27FC236}">
              <a16:creationId xmlns:a16="http://schemas.microsoft.com/office/drawing/2014/main" id="{6F3EFE5C-8B6A-4A63-BA53-5A7A32DE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5717" y="5772150"/>
          <a:ext cx="1084791" cy="5829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57726</xdr:colOff>
      <xdr:row>26</xdr:row>
      <xdr:rowOff>253999</xdr:rowOff>
    </xdr:from>
    <xdr:to>
      <xdr:col>4</xdr:col>
      <xdr:colOff>364651</xdr:colOff>
      <xdr:row>31</xdr:row>
      <xdr:rowOff>81779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D880768-3D3D-4B69-A0A5-92FE62AA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817" y="9097817"/>
          <a:ext cx="2281198" cy="1132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38100</xdr:rowOff>
    </xdr:from>
    <xdr:to>
      <xdr:col>8</xdr:col>
      <xdr:colOff>751977</xdr:colOff>
      <xdr:row>0</xdr:row>
      <xdr:rowOff>624891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4820" y="38100"/>
          <a:ext cx="1580515" cy="586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34925</xdr:colOff>
      <xdr:row>0</xdr:row>
      <xdr:rowOff>13970</xdr:rowOff>
    </xdr:from>
    <xdr:to>
      <xdr:col>8</xdr:col>
      <xdr:colOff>689704</xdr:colOff>
      <xdr:row>0</xdr:row>
      <xdr:rowOff>600770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6240" y="13970"/>
          <a:ext cx="1587500" cy="586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611909</xdr:colOff>
      <xdr:row>0</xdr:row>
      <xdr:rowOff>69273</xdr:rowOff>
    </xdr:from>
    <xdr:to>
      <xdr:col>8</xdr:col>
      <xdr:colOff>919386</xdr:colOff>
      <xdr:row>0</xdr:row>
      <xdr:rowOff>656064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9435" y="69215"/>
          <a:ext cx="1598930" cy="58674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26</xdr:row>
      <xdr:rowOff>114300</xdr:rowOff>
    </xdr:from>
    <xdr:to>
      <xdr:col>5</xdr:col>
      <xdr:colOff>320040</xdr:colOff>
      <xdr:row>30</xdr:row>
      <xdr:rowOff>5080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4990" y="8310880"/>
          <a:ext cx="1724025" cy="1038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38100</xdr:rowOff>
    </xdr:from>
    <xdr:to>
      <xdr:col>8</xdr:col>
      <xdr:colOff>751977</xdr:colOff>
      <xdr:row>0</xdr:row>
      <xdr:rowOff>624891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4820" y="38100"/>
          <a:ext cx="1580515" cy="5867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4037;&#20316;\2025.8.7&#26032;&#24037;&#20316;\&#22871;&#34920;&#21046;&#20316;\&#36807;&#21435;&#21046;&#20316;\C253-35%20WPCi80%2018%20AC251002%20NEOCHAINS\C253-35-WPCi80-AC251002.xlsm" TargetMode="External"/><Relationship Id="rId1" Type="http://schemas.openxmlformats.org/officeDocument/2006/relationships/externalLinkPath" Target="&#36807;&#21435;&#21046;&#20316;/C253-35%20WPCi80%2018%20AC251002%20NEOCHAINS/C253-35-WPCi80-AC2510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填写区域"/>
      <sheetName val="参数库"/>
      <sheetName val="合同"/>
      <sheetName val="发票"/>
      <sheetName val="IPPC"/>
      <sheetName val="汇票"/>
      <sheetName val="销售证申请书"/>
      <sheetName val="销售证合同"/>
      <sheetName val="销售证发票"/>
    </sheetNames>
    <sheetDataSet>
      <sheetData sheetId="0">
        <row r="5">
          <cell r="B5" t="str">
            <v>AC251002</v>
          </cell>
        </row>
      </sheetData>
      <sheetData sheetId="1">
        <row r="2">
          <cell r="G2" t="str">
            <v>organic lactose</v>
          </cell>
          <cell r="H2" t="str">
            <v>bio lactose</v>
          </cell>
        </row>
        <row r="3">
          <cell r="G3" t="str">
            <v>organic demineralised whey powder 90%</v>
          </cell>
          <cell r="H3" t="str">
            <v>bio D90</v>
          </cell>
        </row>
        <row r="4">
          <cell r="G4" t="str">
            <v>Whey protein concentrate 80 instant</v>
          </cell>
          <cell r="H4" t="str">
            <v>WPCi80</v>
          </cell>
        </row>
        <row r="5">
          <cell r="G5" t="str">
            <v>Whey protein concentrate 80-Hydrolyzed 8310</v>
          </cell>
          <cell r="H5" t="str">
            <v>WPH8310</v>
          </cell>
        </row>
        <row r="6">
          <cell r="G6" t="str">
            <v>Whey protein concentrate 80-Hydrolyzed 8210</v>
          </cell>
          <cell r="H6" t="str">
            <v>WPH8210</v>
          </cell>
        </row>
        <row r="7">
          <cell r="G7" t="str">
            <v>lactose</v>
          </cell>
          <cell r="H7" t="str">
            <v>lactose</v>
          </cell>
        </row>
        <row r="18">
          <cell r="G18" t="e">
            <v>#REF!</v>
          </cell>
          <cell r="H18"/>
          <cell r="I18"/>
        </row>
        <row r="19">
          <cell r="G19" t="e">
            <v>#REF!</v>
          </cell>
          <cell r="H19"/>
          <cell r="I19"/>
        </row>
        <row r="20">
          <cell r="G20" t="e">
            <v>#REF!</v>
          </cell>
          <cell r="H20"/>
          <cell r="I20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3"/>
  <sheetViews>
    <sheetView tabSelected="1" zoomScaleNormal="100" workbookViewId="0">
      <pane xSplit="1" ySplit="2" topLeftCell="B35" activePane="bottomRight" state="frozen"/>
      <selection pane="topRight" activeCell="C1" sqref="C1"/>
      <selection pane="bottomLeft" activeCell="A2" sqref="A2"/>
      <selection pane="bottomRight" activeCell="C50" sqref="C50"/>
    </sheetView>
  </sheetViews>
  <sheetFormatPr defaultColWidth="8.5703125" defaultRowHeight="14.15" x14ac:dyDescent="0.35"/>
  <cols>
    <col min="1" max="1" width="15" style="4" customWidth="1"/>
    <col min="2" max="4" width="18.5703125" style="4" customWidth="1"/>
    <col min="5" max="5" width="11.85546875" style="4" customWidth="1"/>
    <col min="6" max="6" width="22.7109375" style="4" customWidth="1"/>
    <col min="7" max="7" width="17.35546875" style="4" customWidth="1"/>
    <col min="8" max="9" width="8.5703125" style="4" customWidth="1"/>
    <col min="10" max="10" width="9.5" style="4" customWidth="1"/>
    <col min="11" max="13" width="8.5703125" style="4" customWidth="1"/>
    <col min="14" max="16384" width="8.5703125" style="4"/>
  </cols>
  <sheetData>
    <row r="1" spans="1:12" x14ac:dyDescent="0.35">
      <c r="H1" s="118"/>
      <c r="I1" t="s">
        <v>66</v>
      </c>
      <c r="J1"/>
      <c r="K1"/>
      <c r="L1" s="99"/>
    </row>
    <row r="2" spans="1:12" x14ac:dyDescent="0.35">
      <c r="E2" s="99" t="s">
        <v>171</v>
      </c>
      <c r="F2" s="4" t="s">
        <v>0</v>
      </c>
      <c r="G2" s="4" t="s">
        <v>1</v>
      </c>
      <c r="I2" s="4" t="s">
        <v>68</v>
      </c>
    </row>
    <row r="3" spans="1:12" ht="12.65" customHeight="1" x14ac:dyDescent="0.35">
      <c r="A3" s="122" t="s">
        <v>9</v>
      </c>
      <c r="B3" s="123"/>
      <c r="C3" s="106"/>
      <c r="D3" s="106"/>
      <c r="E3" s="59"/>
      <c r="I3" s="99" t="s">
        <v>69</v>
      </c>
    </row>
    <row r="4" spans="1:12" ht="28.3" x14ac:dyDescent="0.35">
      <c r="A4" s="101" t="s">
        <v>198</v>
      </c>
      <c r="B4" s="86" t="s">
        <v>228</v>
      </c>
      <c r="C4" s="107"/>
      <c r="D4" s="107"/>
      <c r="G4" s="87" t="s">
        <v>71</v>
      </c>
      <c r="I4" s="4" t="s">
        <v>79</v>
      </c>
    </row>
    <row r="5" spans="1:12" ht="12.65" customHeight="1" x14ac:dyDescent="0.35">
      <c r="A5" s="104" t="s">
        <v>207</v>
      </c>
      <c r="B5" s="62" t="s">
        <v>229</v>
      </c>
      <c r="C5" s="63"/>
      <c r="D5" s="63"/>
      <c r="E5" s="63"/>
      <c r="F5" s="64"/>
      <c r="G5" s="64" t="s">
        <v>16</v>
      </c>
      <c r="I5" s="4" t="s">
        <v>81</v>
      </c>
    </row>
    <row r="6" spans="1:12" ht="12.65" customHeight="1" x14ac:dyDescent="0.35">
      <c r="A6" s="100" t="s">
        <v>178</v>
      </c>
      <c r="B6" s="65" t="s">
        <v>10</v>
      </c>
      <c r="C6" s="66"/>
      <c r="D6" s="66"/>
      <c r="E6" s="66"/>
      <c r="G6" s="99" t="s">
        <v>175</v>
      </c>
      <c r="I6" s="4" t="s">
        <v>83</v>
      </c>
    </row>
    <row r="7" spans="1:12" ht="12.65" hidden="1" customHeight="1" x14ac:dyDescent="0.35">
      <c r="A7" s="60" t="s">
        <v>25</v>
      </c>
      <c r="B7" s="65" t="str">
        <f>VLOOKUP(B6,参数库!A5:F12,2,FALSE)</f>
        <v>Mühlenstrasse 26, 8200,</v>
      </c>
      <c r="C7" s="66"/>
      <c r="D7" s="66"/>
      <c r="E7" s="66"/>
      <c r="G7" s="4" t="s">
        <v>26</v>
      </c>
    </row>
    <row r="8" spans="1:12" ht="12.65" hidden="1" customHeight="1" x14ac:dyDescent="0.35">
      <c r="A8" s="60" t="s">
        <v>31</v>
      </c>
      <c r="B8" s="65" t="str">
        <f>VLOOKUP(B6,参数库!A5:F12,3,FALSE)</f>
        <v>Schaffhausen</v>
      </c>
      <c r="C8" s="66"/>
      <c r="D8" s="66"/>
      <c r="E8" s="66"/>
      <c r="G8" s="4" t="s">
        <v>26</v>
      </c>
    </row>
    <row r="9" spans="1:12" ht="12.65" hidden="1" customHeight="1" x14ac:dyDescent="0.35">
      <c r="A9" s="60" t="s">
        <v>34</v>
      </c>
      <c r="B9" s="65" t="str">
        <f>VLOOKUP(B6,参数库!A5:F12,4,FALSE)</f>
        <v>Switzerland</v>
      </c>
      <c r="C9" s="66"/>
      <c r="D9" s="66"/>
      <c r="E9" s="66"/>
      <c r="G9" s="4" t="s">
        <v>26</v>
      </c>
    </row>
    <row r="10" spans="1:12" x14ac:dyDescent="0.35">
      <c r="A10" s="104" t="s">
        <v>177</v>
      </c>
      <c r="B10" s="62" t="s">
        <v>230</v>
      </c>
      <c r="C10" s="63"/>
      <c r="D10" s="63"/>
      <c r="E10" s="63"/>
      <c r="F10" s="64" t="e" cm="1">
        <f t="array" ref="F10">YEAR(B10)&amp;" "&amp;TEXT(B10,"mmmm")&amp;" "&amp;DAY(B10)&amp;IF(OR(DAY(B10)={1,21,31}),"ˢᵗ",IF(OR(DAY(B10)={2,22}),"ⁿᵈ",IF(OR(DAY(B10)={3,23}),"ʳᵈ","ᵗʰ")))</f>
        <v>#VALUE!</v>
      </c>
      <c r="G10" s="102" t="s">
        <v>175</v>
      </c>
    </row>
    <row r="11" spans="1:12" ht="13.5" customHeight="1" x14ac:dyDescent="0.35">
      <c r="A11" s="104" t="s">
        <v>199</v>
      </c>
      <c r="B11" s="65" t="s">
        <v>32</v>
      </c>
      <c r="C11" s="66"/>
      <c r="D11" s="66"/>
      <c r="E11" s="66"/>
      <c r="G11" s="99" t="s">
        <v>175</v>
      </c>
    </row>
    <row r="12" spans="1:12" hidden="1" x14ac:dyDescent="0.35">
      <c r="A12" s="60" t="s">
        <v>25</v>
      </c>
      <c r="B12" s="65" t="str">
        <f>VLOOKUP(B11,参数库!A5:F12,2,FALSE)</f>
        <v>32F, BUILDING NO. 1, AHCOF CENTER, NO. 986, HUAYUAN AVENUE,</v>
      </c>
      <c r="C12" s="66"/>
      <c r="D12" s="66"/>
      <c r="E12" s="66"/>
      <c r="G12" s="4" t="s">
        <v>26</v>
      </c>
    </row>
    <row r="13" spans="1:12" hidden="1" x14ac:dyDescent="0.35">
      <c r="A13" s="60" t="s">
        <v>31</v>
      </c>
      <c r="B13" s="65" t="str">
        <f>VLOOKUP(B11,参数库!A5:F12,3,FALSE)</f>
        <v>Hefei, Anhui,</v>
      </c>
      <c r="C13" s="66"/>
      <c r="D13" s="66"/>
      <c r="E13" s="66"/>
      <c r="G13" s="4" t="s">
        <v>26</v>
      </c>
    </row>
    <row r="14" spans="1:12" hidden="1" x14ac:dyDescent="0.35">
      <c r="A14" s="60" t="s">
        <v>34</v>
      </c>
      <c r="B14" s="65" t="str">
        <f>VLOOKUP(B11,参数库!A5:F12,4,FALSE)</f>
        <v>China</v>
      </c>
      <c r="C14" s="66"/>
      <c r="D14" s="66"/>
      <c r="E14" s="66"/>
      <c r="G14" s="4" t="s">
        <v>26</v>
      </c>
    </row>
    <row r="15" spans="1:12" ht="28.3" hidden="1" x14ac:dyDescent="0.35">
      <c r="A15" s="61" t="s">
        <v>41</v>
      </c>
      <c r="B15" s="62" t="str">
        <f>B10</f>
        <v>2025.10.01</v>
      </c>
      <c r="C15" s="63"/>
      <c r="D15" s="63"/>
      <c r="E15" s="63"/>
      <c r="F15" s="64" t="e" cm="1">
        <f t="array" ref="F15">YEAR(B15)&amp;" "&amp;TEXT(B15,"mmmm")&amp;" "&amp;DAY(B15)&amp;IF(OR(DAY(B15)={1,21,31}),"ˢᵗ",IF(OR(DAY(B15)={2,22}),"ⁿᵈ",IF(OR(DAY(B15)={3,23}),"ʳᵈ","ᵗʰ")))</f>
        <v>#VALUE!</v>
      </c>
      <c r="G15" s="67" t="s">
        <v>42</v>
      </c>
    </row>
    <row r="16" spans="1:12" hidden="1" x14ac:dyDescent="0.35">
      <c r="A16" s="61"/>
      <c r="B16" s="62" t="e">
        <f>EOMONTH(B10,2)</f>
        <v>#VALUE!</v>
      </c>
      <c r="C16" s="63"/>
      <c r="D16" s="63"/>
      <c r="E16" s="63"/>
      <c r="F16" s="64" t="e" cm="1">
        <f t="array" ref="F16">YEAR(B16)&amp;" "&amp;TEXT(B16,"mmmm")&amp;" "&amp;DAY(B16)&amp;IF(OR(DAY(B16)={1,21,31}),"ˢᵗ",IF(OR(DAY(B16)={2,22}),"ⁿᵈ",IF(OR(DAY(B16)={3,23}),"ʳᵈ","ᵗʰ")))</f>
        <v>#VALUE!</v>
      </c>
      <c r="G16" s="67"/>
    </row>
    <row r="17" spans="1:12" ht="14.6" x14ac:dyDescent="0.35">
      <c r="A17" s="68" t="s">
        <v>201</v>
      </c>
      <c r="B17" s="65" t="s">
        <v>234</v>
      </c>
      <c r="C17" s="65"/>
      <c r="D17" s="65"/>
      <c r="E17" s="66" t="str">
        <f>VLOOKUP(B17,参数库!A34:B39,2,FALSE)</f>
        <v>bio D90</v>
      </c>
      <c r="F17" s="20"/>
      <c r="G17" s="103" t="s">
        <v>176</v>
      </c>
      <c r="H17" s="20"/>
      <c r="I17" s="20"/>
      <c r="J17" s="20"/>
      <c r="L17" s="87"/>
    </row>
    <row r="18" spans="1:12" ht="15.45" x14ac:dyDescent="0.35">
      <c r="A18" s="68" t="s">
        <v>200</v>
      </c>
      <c r="B18" s="65" t="s">
        <v>231</v>
      </c>
      <c r="C18" s="66"/>
      <c r="D18" s="66"/>
      <c r="E18" s="70"/>
      <c r="F18" s="20"/>
      <c r="G18" s="69" t="s">
        <v>44</v>
      </c>
      <c r="H18" s="20"/>
      <c r="I18" s="20"/>
      <c r="J18" s="20"/>
      <c r="L18" s="87"/>
    </row>
    <row r="19" spans="1:12" x14ac:dyDescent="0.35">
      <c r="A19" s="68" t="s">
        <v>203</v>
      </c>
      <c r="B19" s="71">
        <v>18</v>
      </c>
      <c r="C19" s="71"/>
      <c r="D19" s="71"/>
      <c r="E19" s="65" t="s">
        <v>47</v>
      </c>
      <c r="F19" s="20" t="str">
        <f>TEXT(填写区域!B19,"#,##0.00")&amp;IF(E19="单位:kg"," kg"," MT")</f>
        <v>18.00 MT</v>
      </c>
      <c r="G19" s="69" t="s">
        <v>38</v>
      </c>
      <c r="H19" s="20"/>
      <c r="I19" s="20"/>
      <c r="J19" s="20"/>
    </row>
    <row r="20" spans="1:12" ht="15.45" x14ac:dyDescent="0.35">
      <c r="A20" s="116" t="s">
        <v>202</v>
      </c>
      <c r="B20" s="72">
        <v>11.2</v>
      </c>
      <c r="C20" s="72"/>
      <c r="D20" s="72"/>
      <c r="E20" s="65" t="s">
        <v>49</v>
      </c>
      <c r="F20" s="20" t="str">
        <f>IF(E20="货币:EUR","EUR ","")&amp;TEXT(B20,"#,##0.00")&amp;" /"&amp;IF(E19="单位:kg"," kg"," MT")</f>
        <v>EUR 11.20 / MT</v>
      </c>
      <c r="G20" s="69" t="s">
        <v>38</v>
      </c>
      <c r="H20" s="20"/>
      <c r="I20" s="20"/>
      <c r="J20" s="20"/>
    </row>
    <row r="21" spans="1:12" x14ac:dyDescent="0.35">
      <c r="A21" s="68" t="s">
        <v>180</v>
      </c>
      <c r="B21" s="72">
        <f>B19*B20+C19*C20+D19*D20</f>
        <v>201.6</v>
      </c>
      <c r="C21" s="117"/>
      <c r="D21" s="117"/>
      <c r="E21" s="59"/>
      <c r="F21" s="20" t="str">
        <f>IF(E20="货币:EUR","EUR ","")&amp;TEXT(填写区域!B21*1000,"#,##0.00")</f>
        <v>EUR 201,600.00</v>
      </c>
      <c r="G21" s="69" t="s">
        <v>51</v>
      </c>
      <c r="H21" s="20"/>
      <c r="I21" s="20"/>
      <c r="J21" s="20"/>
    </row>
    <row r="22" spans="1:12" ht="28.3" x14ac:dyDescent="0.35">
      <c r="A22" s="73" t="s">
        <v>204</v>
      </c>
      <c r="B22" s="65" t="s">
        <v>232</v>
      </c>
      <c r="C22" s="70"/>
      <c r="D22" s="70"/>
      <c r="E22" s="70"/>
      <c r="G22" s="69" t="s">
        <v>38</v>
      </c>
      <c r="H22" s="20"/>
      <c r="I22" s="20"/>
      <c r="J22" s="20"/>
    </row>
    <row r="23" spans="1:12" ht="28" hidden="1" customHeight="1" x14ac:dyDescent="0.35">
      <c r="A23" s="68" t="s">
        <v>205</v>
      </c>
      <c r="B23" s="65" t="s">
        <v>169</v>
      </c>
      <c r="C23" s="70"/>
      <c r="D23" s="70"/>
      <c r="E23" s="70"/>
      <c r="F23" s="20"/>
      <c r="G23" s="69" t="s">
        <v>54</v>
      </c>
      <c r="H23" s="20"/>
      <c r="I23" s="20"/>
      <c r="J23" s="20"/>
    </row>
    <row r="24" spans="1:12" ht="28" hidden="1" customHeight="1" x14ac:dyDescent="0.35">
      <c r="A24" s="73" t="s">
        <v>192</v>
      </c>
      <c r="B24" s="74" t="str">
        <f>IF(OR(B17="Whey protein concentrate 80 instant",B17="Whey protein concentrate 80-Hydrolyzed 8310",B17="Whey protein concentrate 80-Hydrolyzed 8210"),"20,00 kg multilayer paper bags with PE-inliner,
New heat treated One-Way-Pallets 1000×1200","25,00 kg multilayer paper bags with PE-inliner,
New heat treated One-Way-Pallets 1000×1200")</f>
        <v>25,00 kg multilayer paper bags with PE-inliner,
New heat treated One-Way-Pallets 1000×1200</v>
      </c>
      <c r="C24" s="74" t="str">
        <f>IF(OR(C17="Whey protein concentrate 80 instant",C17="Whey protein concentrate 80-Hydrolyzed 8310",C17="Whey protein concentrate 80-Hydrolyzed 8210"),"20,00 kg multilayer paper bags with PE-inliner,
New heat treated One-Way-Pallets 1000×1200",IF(C17="","","25,00 kg multilayer paper bags with PE-inliner,
New heat treated One-Way-Pallets 1000×1200"))</f>
        <v/>
      </c>
      <c r="D24" s="74" t="str">
        <f>IF(OR(D17="Whey protein concentrate 80 instant",D17="Whey protein concentrate 80-Hydrolyzed 8310",D17="Whey protein concentrate 80-Hydrolyzed 8210"),"20,00 kg multilayer paper bags with PE-inliner,
New heat treated One-Way-Pallets 1000×1200",IF(D17="","","25,00 kg multilayer paper bags with PE-inliner,
New heat treated One-Way-Pallets 1000×1200"))</f>
        <v/>
      </c>
      <c r="E24" s="75"/>
      <c r="F24" s="20"/>
      <c r="G24" s="69" t="s">
        <v>195</v>
      </c>
      <c r="H24" s="20"/>
      <c r="I24" s="20"/>
      <c r="J24" s="20"/>
    </row>
    <row r="25" spans="1:12" ht="42" hidden="1" customHeight="1" x14ac:dyDescent="0.35">
      <c r="A25" s="68" t="s">
        <v>57</v>
      </c>
      <c r="B25" s="74" t="e">
        <f>IF(B26="L/C 90 days after B/L date","Within 30 days after opening L/C. 
Latest shipment "&amp;F16&amp;"
Exact shipping details will be confirmed before loading","within 30 days after the contract is signed
Exact shipping details will be confirmed before loading")</f>
        <v>#VALUE!</v>
      </c>
      <c r="C25" s="76"/>
      <c r="D25" s="76"/>
      <c r="E25" s="76"/>
      <c r="F25" s="20"/>
      <c r="G25" s="20" t="s">
        <v>58</v>
      </c>
      <c r="H25" s="20"/>
      <c r="I25" s="20"/>
      <c r="J25" s="20"/>
    </row>
    <row r="26" spans="1:12" ht="28" hidden="1" customHeight="1" x14ac:dyDescent="0.35">
      <c r="A26" s="77" t="s">
        <v>206</v>
      </c>
      <c r="B26" s="78" t="s">
        <v>233</v>
      </c>
      <c r="C26" s="66"/>
      <c r="D26" s="66"/>
      <c r="E26" s="70"/>
      <c r="F26" s="20"/>
      <c r="G26" s="69" t="s">
        <v>60</v>
      </c>
      <c r="H26" s="20"/>
      <c r="I26" s="20"/>
      <c r="J26" s="20"/>
    </row>
    <row r="27" spans="1:12" x14ac:dyDescent="0.35">
      <c r="A27" s="124" t="s">
        <v>61</v>
      </c>
      <c r="B27" s="124"/>
      <c r="C27" s="108"/>
      <c r="D27" s="108"/>
    </row>
    <row r="28" spans="1:12" ht="28.3" x14ac:dyDescent="0.35">
      <c r="A28" s="101" t="s">
        <v>174</v>
      </c>
      <c r="B28" s="80"/>
      <c r="C28" s="119" t="s">
        <v>224</v>
      </c>
      <c r="D28" s="109"/>
      <c r="F28" s="64" t="str" cm="1">
        <f t="array" ref="F28">YEAR(B28)&amp;" "&amp;TEXT(B28,"mmmm")&amp;" "&amp;DAY(B28)&amp;IF(OR(DAY(B28)={1,21,31}),"ˢᵗ",IF(OR(DAY(B28)={2,22}),"ⁿᵈ",IF(OR(DAY(B28)={3,23}),"ʳᵈ","ᵗʰ")))</f>
        <v>1900 January 0ᵗʰ</v>
      </c>
      <c r="G28" s="4" t="s">
        <v>62</v>
      </c>
    </row>
    <row r="29" spans="1:12" hidden="1" x14ac:dyDescent="0.35">
      <c r="A29" s="81" t="s">
        <v>63</v>
      </c>
      <c r="B29" s="82">
        <f>B28</f>
        <v>0</v>
      </c>
      <c r="C29" s="110"/>
      <c r="D29" s="110"/>
      <c r="E29" s="64"/>
      <c r="F29" s="64" t="str" cm="1">
        <f t="array" ref="F29">YEAR(B29)&amp;" "&amp;TEXT(B29,"mmmm")&amp;" "&amp;DAY(B29)&amp;IF(OR(DAY(B29)={1,21,31}),"ˢᵗ",IF(OR(DAY(B29)={2,22}),"ⁿᵈ",IF(OR(DAY(B29)={3,23}),"ʳᵈ","ᵗʰ")))</f>
        <v>1900 January 0ᵗʰ</v>
      </c>
    </row>
    <row r="30" spans="1:12" hidden="1" x14ac:dyDescent="0.35">
      <c r="A30" s="79" t="s">
        <v>7</v>
      </c>
      <c r="B30" s="79">
        <f>VLOOKUP(B6,参数库!A6:F12,5,FALSE)</f>
        <v>10001</v>
      </c>
      <c r="C30" s="111"/>
      <c r="D30" s="111"/>
      <c r="G30" s="4" t="s">
        <v>64</v>
      </c>
    </row>
    <row r="31" spans="1:12" ht="14.6" x14ac:dyDescent="0.35">
      <c r="A31" s="79" t="s">
        <v>65</v>
      </c>
      <c r="B31" s="83"/>
      <c r="C31" s="112"/>
      <c r="D31" s="112"/>
      <c r="G31" s="84" t="s">
        <v>257</v>
      </c>
    </row>
    <row r="32" spans="1:12" x14ac:dyDescent="0.35">
      <c r="A32" s="85" t="s">
        <v>66</v>
      </c>
      <c r="B32" s="121">
        <f>J1</f>
        <v>0</v>
      </c>
      <c r="C32" s="120" t="s">
        <v>239</v>
      </c>
      <c r="D32" s="120" t="s">
        <v>256</v>
      </c>
      <c r="G32" s="4" t="s">
        <v>67</v>
      </c>
    </row>
    <row r="33" spans="1:11" x14ac:dyDescent="0.35">
      <c r="A33" s="85" t="s">
        <v>208</v>
      </c>
      <c r="B33" s="121">
        <f t="shared" ref="B33" si="0">J2</f>
        <v>0</v>
      </c>
      <c r="C33" s="120" t="s">
        <v>225</v>
      </c>
      <c r="D33" s="111"/>
      <c r="G33" s="99" t="s">
        <v>209</v>
      </c>
    </row>
    <row r="34" spans="1:11" x14ac:dyDescent="0.35">
      <c r="A34" s="79" t="s">
        <v>69</v>
      </c>
      <c r="B34" s="121">
        <f>J3</f>
        <v>0</v>
      </c>
      <c r="C34" s="107"/>
      <c r="D34" s="107"/>
      <c r="E34" s="10"/>
      <c r="G34" s="4" t="s">
        <v>70</v>
      </c>
    </row>
    <row r="35" spans="1:11" x14ac:dyDescent="0.35">
      <c r="A35" s="61" t="s">
        <v>72</v>
      </c>
      <c r="B35" s="88">
        <f>B28+90</f>
        <v>90</v>
      </c>
      <c r="C35" s="89"/>
      <c r="D35" s="89"/>
      <c r="E35" s="89"/>
      <c r="F35" s="64" t="str" cm="1">
        <f t="array" ref="F35">YEAR(B35)&amp;" "&amp;TEXT(B35,"mmmm")&amp;" "&amp;DAY(B35)&amp;IF(OR(DAY(B35)={1,21,31}),"ˢᵗ",IF(OR(DAY(B35)={2,22}),"ⁿᵈ",IF(OR(DAY(B35)={3,23}),"ʳᵈ","ᵗʰ")))&amp;")"</f>
        <v>1900 March 30ᵗʰ)</v>
      </c>
      <c r="G35" s="64"/>
      <c r="J35" s="95"/>
      <c r="K35" s="20"/>
    </row>
    <row r="37" spans="1:11" x14ac:dyDescent="0.35">
      <c r="A37" s="105" t="s">
        <v>73</v>
      </c>
      <c r="B37" s="105"/>
      <c r="C37" s="105"/>
      <c r="D37" s="105"/>
    </row>
    <row r="38" spans="1:11" x14ac:dyDescent="0.35">
      <c r="A38" s="90" t="s">
        <v>74</v>
      </c>
      <c r="B38" s="91"/>
      <c r="C38" s="91"/>
      <c r="D38" s="91"/>
      <c r="G38" s="92" t="s">
        <v>75</v>
      </c>
    </row>
    <row r="39" spans="1:11" hidden="1" x14ac:dyDescent="0.35">
      <c r="A39" s="93" t="s">
        <v>76</v>
      </c>
      <c r="B39" s="91" t="str">
        <f>B8</f>
        <v>Schaffhausen</v>
      </c>
      <c r="C39" s="91"/>
      <c r="D39" s="91"/>
      <c r="G39" s="92"/>
    </row>
    <row r="40" spans="1:11" hidden="1" x14ac:dyDescent="0.35">
      <c r="A40" s="93" t="s">
        <v>77</v>
      </c>
      <c r="B40" s="94">
        <f>B28</f>
        <v>0</v>
      </c>
      <c r="C40" s="94"/>
      <c r="D40" s="94"/>
      <c r="F40" s="95"/>
      <c r="G40" s="92"/>
    </row>
    <row r="42" spans="1:11" x14ac:dyDescent="0.35">
      <c r="A42" s="4" t="s">
        <v>2</v>
      </c>
    </row>
    <row r="43" spans="1:11" x14ac:dyDescent="0.35">
      <c r="A43" s="4" t="s">
        <v>78</v>
      </c>
      <c r="C43" s="4" t="s">
        <v>236</v>
      </c>
      <c r="D43" s="4" t="s">
        <v>235</v>
      </c>
      <c r="E43" s="99" t="s">
        <v>236</v>
      </c>
      <c r="F43" s="99" t="s">
        <v>246</v>
      </c>
      <c r="G43" s="99" t="s">
        <v>214</v>
      </c>
    </row>
    <row r="44" spans="1:11" x14ac:dyDescent="0.35">
      <c r="A44" s="4" t="s">
        <v>79</v>
      </c>
      <c r="B44" s="4">
        <f>J4</f>
        <v>0</v>
      </c>
      <c r="C44" s="99" t="s">
        <v>215</v>
      </c>
      <c r="D44" s="99" t="s">
        <v>219</v>
      </c>
      <c r="E44" s="99" t="s">
        <v>248</v>
      </c>
      <c r="F44" s="99" t="s">
        <v>247</v>
      </c>
      <c r="G44" s="99" t="s">
        <v>222</v>
      </c>
    </row>
    <row r="45" spans="1:11" x14ac:dyDescent="0.35">
      <c r="A45" s="99" t="s">
        <v>253</v>
      </c>
      <c r="C45" s="99" t="s">
        <v>237</v>
      </c>
      <c r="D45" s="99" t="s">
        <v>238</v>
      </c>
      <c r="E45" s="99" t="s">
        <v>249</v>
      </c>
      <c r="F45" s="99" t="s">
        <v>251</v>
      </c>
      <c r="G45" s="4" t="s">
        <v>80</v>
      </c>
    </row>
    <row r="46" spans="1:11" x14ac:dyDescent="0.35">
      <c r="A46" s="99" t="s">
        <v>252</v>
      </c>
      <c r="C46" s="99"/>
      <c r="D46" s="99"/>
      <c r="E46" s="99" t="s">
        <v>260</v>
      </c>
      <c r="F46" s="99" t="s">
        <v>250</v>
      </c>
    </row>
    <row r="47" spans="1:11" x14ac:dyDescent="0.35">
      <c r="A47" s="4" t="s">
        <v>81</v>
      </c>
      <c r="B47" s="4">
        <f>J5</f>
        <v>0</v>
      </c>
      <c r="C47" s="99" t="s">
        <v>236</v>
      </c>
      <c r="D47" s="99"/>
      <c r="G47" s="99" t="s">
        <v>223</v>
      </c>
    </row>
    <row r="48" spans="1:11" x14ac:dyDescent="0.35">
      <c r="A48" s="4" t="s">
        <v>82</v>
      </c>
      <c r="B48" s="96"/>
      <c r="C48" s="99" t="s">
        <v>258</v>
      </c>
      <c r="D48" s="96"/>
      <c r="G48" s="99" t="s">
        <v>227</v>
      </c>
      <c r="H48" s="99" t="s">
        <v>226</v>
      </c>
    </row>
    <row r="49" spans="1:8" x14ac:dyDescent="0.35">
      <c r="A49" s="4" t="s">
        <v>83</v>
      </c>
      <c r="B49" s="4">
        <f>J6</f>
        <v>0</v>
      </c>
      <c r="C49" s="99" t="s">
        <v>261</v>
      </c>
      <c r="G49" s="4" t="s">
        <v>84</v>
      </c>
      <c r="H49" s="4" t="s">
        <v>85</v>
      </c>
    </row>
    <row r="50" spans="1:8" x14ac:dyDescent="0.35">
      <c r="C50" s="99" t="s">
        <v>259</v>
      </c>
    </row>
    <row r="51" spans="1:8" x14ac:dyDescent="0.35">
      <c r="A51" s="4" t="s">
        <v>86</v>
      </c>
    </row>
    <row r="52" spans="1:8" x14ac:dyDescent="0.35">
      <c r="A52" s="100" t="s">
        <v>172</v>
      </c>
      <c r="B52" s="65"/>
      <c r="C52" s="66"/>
      <c r="D52" s="66"/>
    </row>
    <row r="53" spans="1:8" hidden="1" x14ac:dyDescent="0.35">
      <c r="A53" s="60" t="s">
        <v>25</v>
      </c>
      <c r="B53" s="65" t="e">
        <f>VLOOKUP(B52,参数库!A50:F57,2,FALSE)</f>
        <v>#N/A</v>
      </c>
      <c r="C53" s="66"/>
      <c r="D53" s="66"/>
    </row>
    <row r="54" spans="1:8" hidden="1" x14ac:dyDescent="0.35">
      <c r="A54" s="60" t="s">
        <v>31</v>
      </c>
      <c r="B54" s="65" t="e">
        <f>VLOOKUP(B52,参数库!A50:F57,3,FALSE)</f>
        <v>#N/A</v>
      </c>
      <c r="C54" s="66"/>
      <c r="D54" s="66"/>
    </row>
    <row r="55" spans="1:8" hidden="1" x14ac:dyDescent="0.35">
      <c r="A55" s="60" t="s">
        <v>34</v>
      </c>
      <c r="B55" s="65" t="e">
        <f>VLOOKUP(B52,参数库!A50:F57,4,FALSE)</f>
        <v>#N/A</v>
      </c>
      <c r="C55" s="66"/>
      <c r="D55" s="66"/>
    </row>
    <row r="56" spans="1:8" ht="28.3" x14ac:dyDescent="0.35">
      <c r="A56" s="61" t="s">
        <v>87</v>
      </c>
      <c r="B56" s="62"/>
      <c r="C56" s="63"/>
      <c r="D56" s="63"/>
      <c r="F56" s="64" t="str" cm="1">
        <f t="array" ref="F56">YEAR(B56)&amp;" "&amp;TEXT(B56,"mmmm")&amp;" "&amp;DAY(B56)&amp;IF(OR(DAY(B56)={1,21,31}),"ˢᵗ",IF(OR(DAY(B56)={2,22}),"ⁿᵈ",IF(OR(DAY(B56)={3,23}),"ʳᵈ","ᵗʰ")))</f>
        <v>1900 January 0ᵗʰ</v>
      </c>
    </row>
    <row r="57" spans="1:8" x14ac:dyDescent="0.35">
      <c r="A57" s="100" t="s">
        <v>173</v>
      </c>
      <c r="B57" s="65"/>
      <c r="C57" s="66"/>
      <c r="D57" s="66"/>
    </row>
    <row r="58" spans="1:8" hidden="1" x14ac:dyDescent="0.35">
      <c r="A58" s="60" t="s">
        <v>25</v>
      </c>
      <c r="B58" s="65" t="e">
        <f>VLOOKUP(B57,参数库!A55:F62,2,FALSE)</f>
        <v>#N/A</v>
      </c>
      <c r="C58" s="66"/>
      <c r="D58" s="66"/>
    </row>
    <row r="59" spans="1:8" hidden="1" x14ac:dyDescent="0.35">
      <c r="A59" s="60" t="s">
        <v>31</v>
      </c>
      <c r="B59" s="65" t="e">
        <f>VLOOKUP(B57,参数库!A55:F62,3,FALSE)</f>
        <v>#N/A</v>
      </c>
      <c r="C59" s="66"/>
      <c r="D59" s="66"/>
    </row>
    <row r="60" spans="1:8" hidden="1" x14ac:dyDescent="0.35">
      <c r="A60" s="60" t="s">
        <v>34</v>
      </c>
      <c r="B60" s="65" t="e">
        <f>VLOOKUP(B57,参数库!A55:F62,4,FALSE)</f>
        <v>#N/A</v>
      </c>
      <c r="C60" s="66"/>
      <c r="D60" s="66"/>
    </row>
    <row r="61" spans="1:8" ht="28.3" hidden="1" x14ac:dyDescent="0.35">
      <c r="A61" s="61" t="s">
        <v>88</v>
      </c>
      <c r="B61" s="62">
        <f>B56</f>
        <v>0</v>
      </c>
      <c r="C61" s="63"/>
      <c r="D61" s="63"/>
      <c r="F61" s="64" t="str" cm="1">
        <f t="array" ref="F61">YEAR(B61)&amp;" "&amp;TEXT(B61,"mmmm")&amp;" "&amp;DAY(B61)&amp;IF(OR(DAY(B61)={1,21,31}),"ˢᵗ",IF(OR(DAY(B61)={2,22}),"ⁿᵈ",IF(OR(DAY(B61)={3,23}),"ʳᵈ","ᵗʰ")))</f>
        <v>1900 January 0ᵗʰ</v>
      </c>
    </row>
    <row r="62" spans="1:8" x14ac:dyDescent="0.35">
      <c r="A62" s="4" t="s">
        <v>89</v>
      </c>
      <c r="F62" s="64"/>
      <c r="G62" s="4" t="s">
        <v>90</v>
      </c>
    </row>
    <row r="63" spans="1:8" x14ac:dyDescent="0.35">
      <c r="A63" s="4" t="s">
        <v>91</v>
      </c>
      <c r="F63" s="64"/>
      <c r="G63" s="4" t="s">
        <v>90</v>
      </c>
    </row>
    <row r="64" spans="1:8" x14ac:dyDescent="0.35">
      <c r="A64" s="4" t="s">
        <v>92</v>
      </c>
      <c r="F64" s="64"/>
    </row>
    <row r="65" spans="1:6" x14ac:dyDescent="0.35">
      <c r="A65" s="4" t="s">
        <v>93</v>
      </c>
      <c r="B65" s="95"/>
      <c r="C65" s="95"/>
      <c r="D65" s="95"/>
      <c r="F65" s="64" t="str" cm="1">
        <f t="array" ref="F65">YEAR(B65)&amp;" "&amp;TEXT(B65,"mmmm")&amp;" "&amp;DAY(B65)&amp;IF(OR(DAY(B65)={1,21,31}),"ˢᵗ",IF(OR(DAY(B65)={2,22}),"ⁿᵈ",IF(OR(DAY(B65)={3,23}),"ʳᵈ","ᵗʰ")))</f>
        <v>1900 January 0ᵗʰ</v>
      </c>
    </row>
    <row r="67" spans="1:6" x14ac:dyDescent="0.35">
      <c r="A67" s="4" t="s">
        <v>94</v>
      </c>
    </row>
    <row r="71" spans="1:6" x14ac:dyDescent="0.35">
      <c r="A71" s="99" t="s">
        <v>240</v>
      </c>
      <c r="B71" s="4" t="str">
        <f>B4&amp;"-invoice "&amp;B31&amp;"-"&amp;VLOOKUP(B17,[1]参数库!G:I,2,FALSE)&amp;"-"&amp;[1]填写区域!B5</f>
        <v>C253-34-invoice -bio D90-AC251002</v>
      </c>
      <c r="C71" s="99" t="s">
        <v>241</v>
      </c>
    </row>
    <row r="72" spans="1:6" x14ac:dyDescent="0.35">
      <c r="A72" s="99" t="s">
        <v>242</v>
      </c>
      <c r="B72" s="4" t="str">
        <f>B4&amp;"-IPPC"</f>
        <v>C253-34-IPPC</v>
      </c>
      <c r="C72" s="99" t="s">
        <v>243</v>
      </c>
    </row>
    <row r="73" spans="1:6" x14ac:dyDescent="0.35">
      <c r="A73" s="99" t="s">
        <v>244</v>
      </c>
      <c r="B73" s="4" t="str">
        <f>B4&amp;"-"&amp;B34</f>
        <v>C253-34-0</v>
      </c>
      <c r="C73" s="99" t="s">
        <v>245</v>
      </c>
    </row>
  </sheetData>
  <mergeCells count="2">
    <mergeCell ref="A3:B3"/>
    <mergeCell ref="A27:B27"/>
  </mergeCells>
  <phoneticPr fontId="38" type="noConversion"/>
  <dataValidations count="8">
    <dataValidation type="list" allowBlank="1" showInputMessage="1" sqref="B17:D17" xr:uid="{00000000-0002-0000-0000-000001000000}">
      <formula1>"organic lactose,organic demineralised whey powder 90%,Whey protein concentrate 80 instant,Whey protein concentrate 80-Hydrolyzed 8310,Whey protein concentrate 80-Hydrolyzed 8210,lactose"</formula1>
    </dataValidation>
    <dataValidation type="list" allowBlank="1" showInputMessage="1" showErrorMessage="1" sqref="B18:D18" xr:uid="{00000000-0002-0000-0000-000002000000}">
      <formula1>"LVEO,FOONEXUS,NEULINK"</formula1>
    </dataValidation>
    <dataValidation type="list" allowBlank="1" showInputMessage="1" sqref="B19:D19" xr:uid="{00000000-0002-0000-0000-000003000000}">
      <formula1>"25.00,18.00"</formula1>
    </dataValidation>
    <dataValidation type="list" allowBlank="1" showInputMessage="1" showErrorMessage="1" sqref="E19" xr:uid="{00000000-0002-0000-0000-000004000000}">
      <formula1>"单位:kg,单位:MT"</formula1>
    </dataValidation>
    <dataValidation type="list" allowBlank="1" showInputMessage="1" showErrorMessage="1" sqref="E20" xr:uid="{00000000-0002-0000-0000-000006000000}">
      <formula1>"货币:EUR"</formula1>
    </dataValidation>
    <dataValidation type="list" allowBlank="1" showInputMessage="1" sqref="B22" xr:uid="{00000000-0002-0000-0000-000007000000}">
      <formula1>"5% more or less allowed both for quantity and amount,none"</formula1>
    </dataValidation>
    <dataValidation allowBlank="1" showInputMessage="1" sqref="C23:E23" xr:uid="{00000000-0002-0000-0000-000009000000}"/>
    <dataValidation type="list" allowBlank="1" showInputMessage="1" sqref="B26:D26" xr:uid="{00000000-0002-0000-0000-00000B000000}">
      <formula1>"L/C 90 days after B/L date,T/T 100% payment 30 days after shipment,T/T 100% payment 60 days after shipment"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00000000-0002-0000-0000-000008000000}">
          <x14:formula1>
            <xm:f>参数库!$B$1:$D$1</xm:f>
          </x14:formula1>
          <xm:sqref>B23</xm:sqref>
        </x14:dataValidation>
        <x14:dataValidation type="list" allowBlank="1" showInputMessage="1" xr:uid="{00000000-0002-0000-0000-00000A000000}">
          <x14:formula1>
            <xm:f>参数库!$B$3:$C$3</xm:f>
          </x14:formula1>
          <xm:sqref>B24</xm:sqref>
        </x14:dataValidation>
        <x14:dataValidation type="list" allowBlank="1" showInputMessage="1" xr:uid="{2CE76CB4-3E41-4FC0-AD27-D61DCB27F04A}">
          <x14:formula1>
            <xm:f>参数库!$A$6:$A$12</xm:f>
          </x14:formula1>
          <xm:sqref>B6:D6 B11:D11 B52:D52 B57:D57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I39"/>
  <sheetViews>
    <sheetView view="pageBreakPreview" topLeftCell="A22" zoomScale="60" zoomScaleNormal="100" workbookViewId="0">
      <selection activeCell="A35" sqref="A35"/>
    </sheetView>
  </sheetViews>
  <sheetFormatPr defaultColWidth="9" defaultRowHeight="14.15" x14ac:dyDescent="0.35"/>
  <sheetData>
    <row r="1" spans="1:6" ht="84" customHeight="1" x14ac:dyDescent="0.35">
      <c r="B1" t="s">
        <v>169</v>
      </c>
      <c r="C1" t="s">
        <v>53</v>
      </c>
      <c r="D1" t="s">
        <v>170</v>
      </c>
    </row>
    <row r="2" spans="1:6" ht="84" customHeight="1" x14ac:dyDescent="0.35"/>
    <row r="3" spans="1:6" ht="84" customHeight="1" x14ac:dyDescent="0.35">
      <c r="B3" s="115" t="s">
        <v>196</v>
      </c>
      <c r="C3" s="1" t="s">
        <v>56</v>
      </c>
    </row>
    <row r="4" spans="1:6" ht="14.15" customHeight="1" x14ac:dyDescent="0.35"/>
    <row r="5" spans="1:6" ht="14.15" customHeight="1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14.15" customHeight="1" x14ac:dyDescent="0.35">
      <c r="A6" s="65" t="s">
        <v>10</v>
      </c>
      <c r="B6" s="65" t="s">
        <v>11</v>
      </c>
      <c r="C6" s="65" t="s">
        <v>12</v>
      </c>
      <c r="D6" s="65" t="s">
        <v>13</v>
      </c>
      <c r="E6" s="60">
        <v>10001</v>
      </c>
      <c r="F6" s="98" t="s">
        <v>14</v>
      </c>
    </row>
    <row r="7" spans="1:6" ht="14.15" customHeight="1" x14ac:dyDescent="0.35">
      <c r="A7" s="74" t="s">
        <v>17</v>
      </c>
      <c r="B7" s="65" t="s">
        <v>18</v>
      </c>
      <c r="C7" s="65" t="s">
        <v>19</v>
      </c>
      <c r="D7" s="65" t="s">
        <v>20</v>
      </c>
      <c r="E7" s="60">
        <v>10002</v>
      </c>
      <c r="F7" s="60"/>
    </row>
    <row r="8" spans="1:6" ht="14.15" customHeight="1" x14ac:dyDescent="0.35">
      <c r="A8" s="65" t="s">
        <v>21</v>
      </c>
      <c r="B8" s="97" t="s">
        <v>22</v>
      </c>
      <c r="C8" s="97" t="s">
        <v>23</v>
      </c>
      <c r="D8" s="97" t="s">
        <v>24</v>
      </c>
      <c r="E8" s="60">
        <v>10003</v>
      </c>
      <c r="F8" s="60"/>
    </row>
    <row r="9" spans="1:6" ht="14.15" customHeight="1" x14ac:dyDescent="0.35">
      <c r="A9" s="65" t="s">
        <v>212</v>
      </c>
      <c r="B9" s="60" t="s">
        <v>27</v>
      </c>
      <c r="C9" s="60" t="s">
        <v>28</v>
      </c>
      <c r="D9" s="60" t="s">
        <v>29</v>
      </c>
      <c r="E9" s="60">
        <v>10004</v>
      </c>
      <c r="F9" s="61" t="s">
        <v>30</v>
      </c>
    </row>
    <row r="10" spans="1:6" ht="14.15" customHeight="1" x14ac:dyDescent="0.35">
      <c r="A10" s="65" t="s">
        <v>32</v>
      </c>
      <c r="B10" s="65" t="s">
        <v>211</v>
      </c>
      <c r="C10" s="65" t="s">
        <v>33</v>
      </c>
      <c r="D10" s="65" t="s">
        <v>24</v>
      </c>
      <c r="E10" s="60">
        <v>10005</v>
      </c>
      <c r="F10" s="65"/>
    </row>
    <row r="11" spans="1:6" ht="14.15" customHeight="1" x14ac:dyDescent="0.35">
      <c r="A11" s="65" t="s">
        <v>35</v>
      </c>
      <c r="B11" s="65" t="s">
        <v>36</v>
      </c>
      <c r="C11" s="65" t="s">
        <v>37</v>
      </c>
      <c r="D11" s="65" t="s">
        <v>24</v>
      </c>
      <c r="E11" s="60">
        <v>10006</v>
      </c>
      <c r="F11" s="65"/>
    </row>
    <row r="12" spans="1:6" ht="14.15" customHeight="1" x14ac:dyDescent="0.35">
      <c r="A12" s="65" t="s">
        <v>39</v>
      </c>
      <c r="B12" s="65" t="s">
        <v>210</v>
      </c>
      <c r="C12" s="65" t="s">
        <v>40</v>
      </c>
      <c r="D12" s="65" t="s">
        <v>24</v>
      </c>
      <c r="E12" s="60">
        <v>10007</v>
      </c>
      <c r="F12" s="65"/>
    </row>
    <row r="15" spans="1:6" ht="15" x14ac:dyDescent="0.35">
      <c r="A15" s="113" t="s">
        <v>182</v>
      </c>
      <c r="B15" s="113" t="s">
        <v>183</v>
      </c>
      <c r="C15" s="113" t="s">
        <v>184</v>
      </c>
      <c r="D15" s="113" t="s">
        <v>185</v>
      </c>
      <c r="E15" s="113" t="s">
        <v>186</v>
      </c>
      <c r="F15" s="18" t="s">
        <v>187</v>
      </c>
    </row>
    <row r="16" spans="1:6" ht="15" x14ac:dyDescent="0.35">
      <c r="A16" s="113" t="s">
        <v>188</v>
      </c>
      <c r="B16" s="113" t="s">
        <v>189</v>
      </c>
      <c r="C16" s="114" t="s">
        <v>190</v>
      </c>
      <c r="D16" s="114" t="s">
        <v>191</v>
      </c>
      <c r="E16" s="114" t="s">
        <v>197</v>
      </c>
      <c r="F16" s="18" t="s">
        <v>187</v>
      </c>
    </row>
    <row r="18" spans="1:9" ht="84" customHeight="1" x14ac:dyDescent="0.35">
      <c r="G18" s="125" t="e">
        <f>填写区域!#REF!&amp;"
Contract No.:"&amp;填写区域!#REF!</f>
        <v>#REF!</v>
      </c>
      <c r="H18" s="125"/>
      <c r="I18" s="125"/>
    </row>
    <row r="19" spans="1:9" ht="84" customHeight="1" x14ac:dyDescent="0.35">
      <c r="G19" s="125" t="e">
        <f>填写区域!#REF!&amp;"
Contract No.:"&amp;填写区域!#REF!</f>
        <v>#REF!</v>
      </c>
      <c r="H19" s="125"/>
      <c r="I19" s="125"/>
    </row>
    <row r="20" spans="1:9" ht="84" customHeight="1" x14ac:dyDescent="0.35">
      <c r="G20" s="125" t="e">
        <f>填写区域!#REF!&amp;"
Contract No.:"&amp;填写区域!#REF!</f>
        <v>#REF!</v>
      </c>
      <c r="H20" s="125"/>
      <c r="I20" s="125"/>
    </row>
    <row r="21" spans="1:9" x14ac:dyDescent="0.35">
      <c r="A21" s="118" t="s">
        <v>218</v>
      </c>
    </row>
    <row r="22" spans="1:9" x14ac:dyDescent="0.35">
      <c r="A22" s="99" t="s">
        <v>216</v>
      </c>
      <c r="B22" s="118" t="s">
        <v>221</v>
      </c>
    </row>
    <row r="23" spans="1:9" x14ac:dyDescent="0.35">
      <c r="A23" s="99" t="s">
        <v>215</v>
      </c>
      <c r="B23" s="118" t="s">
        <v>219</v>
      </c>
    </row>
    <row r="24" spans="1:9" x14ac:dyDescent="0.35">
      <c r="A24" s="99" t="s">
        <v>217</v>
      </c>
      <c r="B24" s="118" t="s">
        <v>220</v>
      </c>
    </row>
    <row r="34" spans="1:2" ht="15" x14ac:dyDescent="0.35">
      <c r="A34" s="113" t="s">
        <v>188</v>
      </c>
      <c r="B34" s="113" t="s">
        <v>182</v>
      </c>
    </row>
    <row r="35" spans="1:2" ht="15" x14ac:dyDescent="0.35">
      <c r="A35" s="113" t="s">
        <v>189</v>
      </c>
      <c r="B35" s="113" t="s">
        <v>183</v>
      </c>
    </row>
    <row r="36" spans="1:2" ht="15" x14ac:dyDescent="0.35">
      <c r="A36" s="114" t="s">
        <v>190</v>
      </c>
      <c r="B36" s="113" t="s">
        <v>184</v>
      </c>
    </row>
    <row r="37" spans="1:2" ht="15" x14ac:dyDescent="0.35">
      <c r="A37" s="114" t="s">
        <v>191</v>
      </c>
      <c r="B37" s="113" t="s">
        <v>185</v>
      </c>
    </row>
    <row r="38" spans="1:2" ht="15" x14ac:dyDescent="0.35">
      <c r="A38" s="114" t="s">
        <v>197</v>
      </c>
      <c r="B38" s="113" t="s">
        <v>186</v>
      </c>
    </row>
    <row r="39" spans="1:2" x14ac:dyDescent="0.35">
      <c r="A39" s="18" t="s">
        <v>187</v>
      </c>
      <c r="B39" s="18" t="s">
        <v>187</v>
      </c>
    </row>
  </sheetData>
  <mergeCells count="3">
    <mergeCell ref="G20:I20"/>
    <mergeCell ref="G18:I18"/>
    <mergeCell ref="G19:I19"/>
  </mergeCells>
  <phoneticPr fontId="38" type="noConversion"/>
  <pageMargins left="0.75" right="0.75" top="1" bottom="1" header="0.5" footer="0.5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4"/>
  <sheetViews>
    <sheetView view="pageLayout" topLeftCell="A6" zoomScale="55" zoomScaleNormal="100" zoomScalePageLayoutView="55" workbookViewId="0">
      <selection activeCell="E22" sqref="E22:I22"/>
    </sheetView>
  </sheetViews>
  <sheetFormatPr defaultColWidth="9" defaultRowHeight="14.15" x14ac:dyDescent="0.35"/>
  <cols>
    <col min="8" max="8" width="8.5" customWidth="1"/>
    <col min="9" max="9" width="15.35546875" customWidth="1"/>
  </cols>
  <sheetData>
    <row r="1" spans="1:9" ht="100" customHeight="1" x14ac:dyDescent="0.35">
      <c r="G1" s="125" t="str">
        <f>填写区域!B6&amp;CHAR(10)&amp;"Contract No.:"&amp;填写区域!B5</f>
        <v>Advanced Ingredients AG
Contract No.:AC251001</v>
      </c>
      <c r="H1" s="125"/>
      <c r="I1" s="125"/>
    </row>
    <row r="2" spans="1:9" s="18" customFormat="1" ht="20.5" customHeight="1" x14ac:dyDescent="0.35">
      <c r="A2" s="130" t="str">
        <f>"Sales Contract "&amp;填写区域!B5</f>
        <v>Sales Contract AC251001</v>
      </c>
      <c r="B2" s="131"/>
      <c r="C2" s="131"/>
      <c r="D2" s="131"/>
      <c r="E2" s="131"/>
      <c r="F2" s="131"/>
      <c r="G2" s="131"/>
      <c r="H2" s="131"/>
      <c r="I2" s="131"/>
    </row>
    <row r="3" spans="1:9" s="18" customFormat="1" x14ac:dyDescent="0.35"/>
    <row r="4" spans="1:9" s="18" customFormat="1" ht="27" customHeight="1" x14ac:dyDescent="0.35">
      <c r="A4" s="3" t="s">
        <v>95</v>
      </c>
    </row>
    <row r="5" spans="1:9" s="18" customFormat="1" ht="27" customHeight="1" x14ac:dyDescent="0.35">
      <c r="A5" s="3" t="s">
        <v>96</v>
      </c>
      <c r="B5" s="3"/>
      <c r="C5" s="3"/>
      <c r="D5" s="3"/>
      <c r="E5" s="3"/>
      <c r="F5" s="3" t="s">
        <v>97</v>
      </c>
    </row>
    <row r="6" spans="1:9" s="18" customFormat="1" ht="27" customHeight="1" x14ac:dyDescent="0.35">
      <c r="A6" s="3" t="str">
        <f>填写区域!B6</f>
        <v>Advanced Ingredients AG</v>
      </c>
      <c r="B6" s="3"/>
      <c r="C6" s="3"/>
      <c r="D6" s="3"/>
      <c r="E6" s="3"/>
      <c r="F6" s="126" t="str">
        <f>填写区域!B11</f>
        <v>AHCOF NEOCHAINS HOLDINGS CO., LTD.</v>
      </c>
      <c r="G6" s="126"/>
      <c r="H6" s="126"/>
      <c r="I6" s="126"/>
    </row>
    <row r="7" spans="1:9" s="18" customFormat="1" ht="27.75" customHeight="1" x14ac:dyDescent="0.35">
      <c r="A7" s="3" t="str">
        <f>填写区域!B7</f>
        <v>Mühlenstrasse 26, 8200,</v>
      </c>
      <c r="B7" s="3"/>
      <c r="C7" s="3"/>
      <c r="D7" s="3"/>
      <c r="E7" s="3"/>
      <c r="F7" s="126" t="str">
        <f>填写区域!B12</f>
        <v>32F, BUILDING NO. 1, AHCOF CENTER, NO. 986, HUAYUAN AVENUE,</v>
      </c>
      <c r="G7" s="126"/>
      <c r="H7" s="126"/>
      <c r="I7" s="126"/>
    </row>
    <row r="8" spans="1:9" s="18" customFormat="1" ht="27" customHeight="1" x14ac:dyDescent="0.35">
      <c r="A8" s="3" t="str">
        <f>填写区域!B8</f>
        <v>Schaffhausen</v>
      </c>
      <c r="B8" s="3"/>
      <c r="C8" s="3"/>
      <c r="D8" s="3"/>
      <c r="E8" s="3"/>
      <c r="F8" s="3" t="str">
        <f>填写区域!B13</f>
        <v>Hefei, Anhui,</v>
      </c>
    </row>
    <row r="9" spans="1:9" s="18" customFormat="1" ht="27" customHeight="1" x14ac:dyDescent="0.35">
      <c r="A9" s="3" t="str">
        <f>填写区域!B9</f>
        <v>Switzerland</v>
      </c>
      <c r="B9" s="3"/>
      <c r="C9" s="3"/>
      <c r="D9" s="3"/>
      <c r="E9" s="3"/>
      <c r="F9" s="3" t="str">
        <f>填写区域!B14</f>
        <v>China</v>
      </c>
    </row>
    <row r="10" spans="1:9" s="18" customFormat="1" x14ac:dyDescent="0.35">
      <c r="A10" s="3"/>
    </row>
    <row r="11" spans="1:9" s="18" customFormat="1" x14ac:dyDescent="0.35">
      <c r="A11" s="19"/>
      <c r="B11" s="19"/>
      <c r="C11" s="19"/>
      <c r="D11" s="19"/>
      <c r="E11" s="19"/>
      <c r="F11" s="19"/>
      <c r="G11" s="19"/>
      <c r="H11" s="19"/>
      <c r="I11" s="19"/>
    </row>
    <row r="12" spans="1:9" s="18" customFormat="1" x14ac:dyDescent="0.35"/>
    <row r="13" spans="1:9" s="18" customFormat="1" ht="27.75" customHeight="1" x14ac:dyDescent="0.35">
      <c r="A13" s="3" t="s">
        <v>98</v>
      </c>
    </row>
    <row r="14" spans="1:9" s="18" customFormat="1" ht="27" customHeight="1" x14ac:dyDescent="0.35">
      <c r="A14" s="8" t="s">
        <v>181</v>
      </c>
      <c r="E14" s="126" t="str">
        <f>填写区域!B17</f>
        <v>organic demineralised whey powder 90%</v>
      </c>
      <c r="F14" s="126"/>
      <c r="G14" s="126"/>
      <c r="H14" s="126"/>
      <c r="I14" s="126"/>
    </row>
    <row r="15" spans="1:9" s="18" customFormat="1" ht="27" customHeight="1" x14ac:dyDescent="0.35">
      <c r="A15" s="8" t="s">
        <v>194</v>
      </c>
      <c r="E15" s="129" t="str">
        <f>TEXT(填写区域!B19,"#,##0.00")&amp;IF(填写区域!D19="单位:kg"," kg"," MT")</f>
        <v>18.00 MT</v>
      </c>
      <c r="F15" s="129"/>
      <c r="G15" s="129"/>
      <c r="H15" s="129"/>
      <c r="I15" s="129"/>
    </row>
    <row r="16" spans="1:9" s="18" customFormat="1" ht="27" customHeight="1" x14ac:dyDescent="0.35">
      <c r="A16" s="8" t="s">
        <v>179</v>
      </c>
      <c r="E16" s="129" t="str">
        <f>IF(填写区域!E20="货币:EUR","EUR ","")&amp;TEXT(填写区域!B20*1000,"#,##0.00")&amp;" /"&amp;IF(填写区域!D19="单位:kg"," kg"," MT")</f>
        <v>EUR 11,200.00 / MT</v>
      </c>
      <c r="F16" s="129"/>
      <c r="G16" s="129"/>
      <c r="H16" s="129"/>
      <c r="I16" s="129"/>
    </row>
    <row r="17" spans="1:9" s="18" customFormat="1" ht="27.75" customHeight="1" x14ac:dyDescent="0.35">
      <c r="A17" s="8" t="s">
        <v>55</v>
      </c>
      <c r="E17" s="126" t="str">
        <f>填写区域!B24</f>
        <v>25,00 kg multilayer paper bags with PE-inliner,
New heat treated One-Way-Pallets 1000×1200</v>
      </c>
      <c r="F17" s="126"/>
      <c r="G17" s="126"/>
      <c r="H17" s="126"/>
      <c r="I17" s="126"/>
    </row>
    <row r="18" spans="1:9" s="18" customFormat="1" ht="27" customHeight="1" x14ac:dyDescent="0.35">
      <c r="A18" s="8" t="s">
        <v>180</v>
      </c>
      <c r="E18" s="129" t="str">
        <f>IF(填写区域!E20="货币:EUR","EUR ","")&amp;TEXT(填写区域!B21*1000,"#,##0.00")</f>
        <v>EUR 201,600.00</v>
      </c>
      <c r="F18" s="129"/>
      <c r="G18" s="129"/>
      <c r="H18" s="129"/>
      <c r="I18" s="129"/>
    </row>
    <row r="19" spans="1:9" s="18" customFormat="1" ht="27" customHeight="1" x14ac:dyDescent="0.35">
      <c r="A19" s="8" t="s">
        <v>193</v>
      </c>
      <c r="E19" s="126" t="str">
        <f>填写区域!B22</f>
        <v>5% more or less allowed both for quantity and amount</v>
      </c>
      <c r="F19" s="126"/>
      <c r="G19" s="126"/>
      <c r="H19" s="126"/>
      <c r="I19" s="126"/>
    </row>
    <row r="20" spans="1:9" s="18" customFormat="1" ht="27" customHeight="1" x14ac:dyDescent="0.35">
      <c r="A20" s="8" t="s">
        <v>45</v>
      </c>
      <c r="E20" s="20" t="str">
        <f>填写区域!B18</f>
        <v>LVEO</v>
      </c>
      <c r="F20" s="20"/>
      <c r="G20" s="20"/>
      <c r="H20" s="20"/>
      <c r="I20" s="20"/>
    </row>
    <row r="21" spans="1:9" s="18" customFormat="1" ht="27" customHeight="1" x14ac:dyDescent="0.35">
      <c r="A21" s="8" t="s">
        <v>52</v>
      </c>
      <c r="E21" s="126" t="str">
        <f>填写区域!B23</f>
        <v>CIF Tianjin, Xingang,China (Incoterms 2020)</v>
      </c>
      <c r="F21" s="126"/>
      <c r="G21" s="126"/>
      <c r="H21" s="126"/>
      <c r="I21" s="126"/>
    </row>
    <row r="22" spans="1:9" s="18" customFormat="1" ht="44.15" customHeight="1" x14ac:dyDescent="0.35">
      <c r="A22" s="8" t="s">
        <v>57</v>
      </c>
      <c r="E22" s="126" t="e">
        <f>填写区域!B25</f>
        <v>#VALUE!</v>
      </c>
      <c r="F22" s="126"/>
      <c r="G22" s="126"/>
      <c r="H22" s="126"/>
      <c r="I22" s="126"/>
    </row>
    <row r="23" spans="1:9" s="18" customFormat="1" ht="27.75" customHeight="1" x14ac:dyDescent="0.35">
      <c r="A23" s="6" t="s">
        <v>59</v>
      </c>
      <c r="B23" s="19"/>
      <c r="C23" s="19"/>
      <c r="D23" s="19"/>
      <c r="E23" s="127" t="str">
        <f>填写区域!B26</f>
        <v>L/C 90 days after B/L date</v>
      </c>
      <c r="F23" s="127"/>
      <c r="G23" s="127"/>
      <c r="H23" s="127"/>
      <c r="I23" s="127"/>
    </row>
    <row r="24" spans="1:9" s="18" customFormat="1" x14ac:dyDescent="0.35">
      <c r="A24" s="21" t="str">
        <f>"The general terms of business drawn up by "&amp;填写区域!B6&amp;" always apply. "</f>
        <v xml:space="preserve">The general terms of business drawn up by Advanced Ingredients AG always apply. </v>
      </c>
      <c r="B24" s="3"/>
      <c r="C24" s="3"/>
      <c r="D24" s="3"/>
      <c r="E24" s="3"/>
      <c r="F24" s="3"/>
      <c r="G24" s="3"/>
      <c r="H24" s="3"/>
      <c r="I24" s="3"/>
    </row>
    <row r="25" spans="1:9" s="18" customFormat="1" x14ac:dyDescent="0.35">
      <c r="A25" s="3"/>
      <c r="B25" s="3"/>
      <c r="C25" s="3"/>
      <c r="D25" s="3"/>
      <c r="E25" s="3"/>
      <c r="F25" s="3"/>
      <c r="G25" s="3"/>
      <c r="H25" s="3"/>
      <c r="I25" s="3"/>
    </row>
    <row r="26" spans="1:9" s="18" customFormat="1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s="18" customFormat="1" ht="21" customHeight="1" x14ac:dyDescent="0.35">
      <c r="A27" s="3" t="s">
        <v>96</v>
      </c>
      <c r="B27" s="3"/>
      <c r="C27" s="3"/>
      <c r="D27" s="3"/>
      <c r="E27" s="3"/>
      <c r="F27" s="3" t="s">
        <v>97</v>
      </c>
      <c r="G27" s="3"/>
      <c r="H27" s="3"/>
      <c r="I27" s="3"/>
    </row>
    <row r="28" spans="1:9" ht="27.75" customHeight="1" x14ac:dyDescent="0.35">
      <c r="A28" s="3" t="str">
        <f>填写区域!B6</f>
        <v>Advanced Ingredients AG</v>
      </c>
      <c r="B28" s="3"/>
      <c r="C28" s="3"/>
      <c r="D28" s="3"/>
      <c r="E28" s="3"/>
      <c r="F28" s="126" t="str">
        <f>填写区域!B11</f>
        <v>AHCOF NEOCHAINS HOLDINGS CO., LTD.</v>
      </c>
      <c r="G28" s="126"/>
      <c r="H28" s="126"/>
      <c r="I28" s="126"/>
    </row>
    <row r="29" spans="1:9" ht="27.75" customHeight="1" x14ac:dyDescent="0.35">
      <c r="A29" s="3" t="e">
        <f>"Date: "&amp;填写区域!F10</f>
        <v>#VALUE!</v>
      </c>
      <c r="B29" s="3"/>
      <c r="C29" s="3"/>
      <c r="D29" s="3"/>
      <c r="E29" s="3"/>
      <c r="F29" s="3" t="e">
        <f>"Date: "&amp;填写区域!F15</f>
        <v>#VALUE!</v>
      </c>
      <c r="G29" s="3"/>
      <c r="H29" s="15"/>
      <c r="I29" s="15"/>
    </row>
    <row r="32" spans="1:9" ht="61.5" customHeight="1" x14ac:dyDescent="0.35">
      <c r="A32" s="128" t="str">
        <f>VLOOKUP(A28,参数库!A:F,6,)</f>
        <v xml:space="preserve">Advanced Ingredients AG
Postanschrift: Mühlenstrasse 26, 8200, Schaffhausen, Switzerland, Tel.:+41 78 933 8098
office@advanced-ingredients.com, UID-Nr: PID197648, Firmennummer: CHE-381.983.314
Kreissparkasse Biberach, BIC / Swift Code: SBCRDE66, IBAN: DE84 6545 0070 0008 4455 57 </v>
      </c>
      <c r="B32" s="128"/>
      <c r="C32" s="128"/>
      <c r="D32" s="128"/>
      <c r="E32" s="128"/>
      <c r="F32" s="128"/>
      <c r="G32" s="128"/>
      <c r="H32" s="128"/>
      <c r="I32" s="128"/>
    </row>
    <row r="33" spans="1:9" x14ac:dyDescent="0.35">
      <c r="A33" s="22"/>
      <c r="B33" s="22"/>
      <c r="C33" s="22"/>
      <c r="D33" s="22"/>
      <c r="E33" s="22"/>
      <c r="F33" s="22"/>
      <c r="G33" s="22"/>
      <c r="H33" s="22"/>
      <c r="I33" s="22"/>
    </row>
    <row r="34" spans="1:9" ht="14.15" customHeight="1" x14ac:dyDescent="0.35">
      <c r="A34" s="22"/>
      <c r="B34" s="22"/>
      <c r="C34" s="22"/>
      <c r="D34" s="22"/>
      <c r="E34" s="22"/>
      <c r="F34" s="22"/>
      <c r="G34" s="22"/>
      <c r="H34" s="22"/>
      <c r="I34" s="22"/>
    </row>
  </sheetData>
  <mergeCells count="15">
    <mergeCell ref="G1:I1"/>
    <mergeCell ref="A2:I2"/>
    <mergeCell ref="F6:I6"/>
    <mergeCell ref="F7:I7"/>
    <mergeCell ref="E14:I14"/>
    <mergeCell ref="E22:I22"/>
    <mergeCell ref="E23:I23"/>
    <mergeCell ref="F28:I28"/>
    <mergeCell ref="A32:I32"/>
    <mergeCell ref="E15:I15"/>
    <mergeCell ref="E16:I16"/>
    <mergeCell ref="E18:I18"/>
    <mergeCell ref="E19:I19"/>
    <mergeCell ref="E21:I21"/>
    <mergeCell ref="E17:I17"/>
  </mergeCells>
  <phoneticPr fontId="38" type="noConversion"/>
  <pageMargins left="0.49" right="0.7" top="0.21" bottom="0.315" header="0.3" footer="0.3"/>
  <pageSetup paperSize="9" orientation="portrait" r:id="rId1"/>
  <headerFooter>
    <oddHeader>&amp;R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5"/>
  <sheetViews>
    <sheetView view="pageLayout" topLeftCell="A28" zoomScaleNormal="100" workbookViewId="0">
      <selection activeCell="H28" sqref="H28:I28"/>
    </sheetView>
  </sheetViews>
  <sheetFormatPr defaultColWidth="9" defaultRowHeight="14.15" x14ac:dyDescent="0.35"/>
  <cols>
    <col min="8" max="8" width="8.0703125" customWidth="1"/>
    <col min="9" max="9" width="12.85546875" customWidth="1"/>
  </cols>
  <sheetData>
    <row r="1" spans="1:9" ht="84" customHeight="1" x14ac:dyDescent="0.35">
      <c r="G1" s="125" t="str">
        <f>填写区域!B6&amp;"
        Invoice No.:"&amp;填写区域!B31</f>
        <v>Advanced Ingredients AG
        Invoice No.:</v>
      </c>
      <c r="H1" s="137"/>
      <c r="I1" s="137"/>
    </row>
    <row r="2" spans="1:9" x14ac:dyDescent="0.35">
      <c r="A2" s="3" t="s">
        <v>100</v>
      </c>
    </row>
    <row r="3" spans="1:9" ht="30" customHeight="1" x14ac:dyDescent="0.35">
      <c r="A3" s="138" t="str">
        <f>填写区域!B6&amp;"
"&amp;填写区域!B7&amp;填写区域!B8&amp;","&amp;填写区域!B9</f>
        <v>Advanced Ingredients AG
Mühlenstrasse 26, 8200,Schaffhausen,Switzerland</v>
      </c>
      <c r="B3" s="139"/>
      <c r="C3" s="139"/>
      <c r="D3" s="139"/>
      <c r="E3" s="139"/>
      <c r="F3" s="139"/>
      <c r="G3" s="139"/>
      <c r="H3" s="139"/>
      <c r="I3" s="139"/>
    </row>
    <row r="4" spans="1:9" x14ac:dyDescent="0.35">
      <c r="A4" s="3" t="s">
        <v>101</v>
      </c>
    </row>
    <row r="5" spans="1:9" ht="41.9" customHeight="1" x14ac:dyDescent="0.35">
      <c r="A5" s="140" t="str">
        <f>填写区域!B11&amp;"
"&amp;填写区域!B12&amp;填写区域!B13&amp;","&amp;填写区域!B14</f>
        <v>AHCOF NEOCHAINS HOLDINGS CO., LTD.
32F, BUILDING NO. 1, AHCOF CENTER, NO. 986, HUAYUAN AVENUE,Hefei, Anhui,,China</v>
      </c>
      <c r="B5" s="140"/>
      <c r="C5" s="140"/>
      <c r="D5" s="140"/>
      <c r="E5" s="140"/>
      <c r="F5" s="140"/>
      <c r="G5" s="140"/>
      <c r="H5" s="140"/>
      <c r="I5" s="140"/>
    </row>
    <row r="7" spans="1:9" x14ac:dyDescent="0.35">
      <c r="G7" s="5" t="s">
        <v>7</v>
      </c>
      <c r="I7">
        <f>填写区域!B30</f>
        <v>10001</v>
      </c>
    </row>
    <row r="8" spans="1:9" x14ac:dyDescent="0.35">
      <c r="G8" s="5" t="s">
        <v>102</v>
      </c>
      <c r="I8" s="17" t="str">
        <f>填写区域!F29</f>
        <v>1900 January 0ᵗʰ</v>
      </c>
    </row>
    <row r="10" spans="1:9" s="2" customFormat="1" ht="27.75" customHeight="1" x14ac:dyDescent="0.35">
      <c r="A10" s="6" t="s">
        <v>103</v>
      </c>
      <c r="F10" s="19">
        <f>填写区域!B31</f>
        <v>0</v>
      </c>
    </row>
    <row r="11" spans="1:9" x14ac:dyDescent="0.35">
      <c r="A11" s="3" t="s">
        <v>104</v>
      </c>
      <c r="F11" s="7" t="str">
        <f>填写区域!B5</f>
        <v>AC251001</v>
      </c>
    </row>
    <row r="12" spans="1:9" x14ac:dyDescent="0.35">
      <c r="A12" s="3"/>
    </row>
    <row r="13" spans="1:9" x14ac:dyDescent="0.35">
      <c r="A13" s="8" t="s">
        <v>43</v>
      </c>
      <c r="F13" s="132" t="str">
        <f>填写区域!B17</f>
        <v>organic demineralised whey powder 90%</v>
      </c>
      <c r="G13" s="132"/>
      <c r="H13" s="132"/>
      <c r="I13" s="132"/>
    </row>
    <row r="14" spans="1:9" x14ac:dyDescent="0.35">
      <c r="A14" s="8" t="s">
        <v>45</v>
      </c>
      <c r="F14" s="132" t="str">
        <f>填写区域!B18</f>
        <v>LVEO</v>
      </c>
      <c r="G14" s="132"/>
      <c r="H14" s="132"/>
      <c r="I14" s="132"/>
    </row>
    <row r="15" spans="1:9" x14ac:dyDescent="0.35">
      <c r="A15" s="8" t="s">
        <v>105</v>
      </c>
      <c r="F15" s="132" t="str">
        <f>填写区域!F19</f>
        <v>18.00 MT</v>
      </c>
      <c r="G15" s="132"/>
      <c r="H15" s="132"/>
      <c r="I15" s="132"/>
    </row>
    <row r="16" spans="1:9" x14ac:dyDescent="0.35">
      <c r="A16" s="8" t="s">
        <v>106</v>
      </c>
      <c r="F16" s="132" t="str">
        <f>合同!E16</f>
        <v>EUR 11,200.00 / MT</v>
      </c>
      <c r="G16" s="132"/>
      <c r="H16" s="132"/>
      <c r="I16" s="132"/>
    </row>
    <row r="17" spans="1:9" x14ac:dyDescent="0.35">
      <c r="A17" s="8" t="s">
        <v>107</v>
      </c>
      <c r="F17" s="132" t="str">
        <f>合同!E18</f>
        <v>EUR 201,600.00</v>
      </c>
      <c r="G17" s="132"/>
      <c r="H17" s="132"/>
      <c r="I17" s="132"/>
    </row>
    <row r="18" spans="1:9" x14ac:dyDescent="0.35">
      <c r="A18" s="9" t="s">
        <v>108</v>
      </c>
      <c r="F18" s="136" t="str">
        <f>填写区域!B23</f>
        <v>CIF Tianjin, Xingang,China (Incoterms 2020)</v>
      </c>
      <c r="G18" s="132"/>
      <c r="H18" s="132"/>
      <c r="I18" s="132"/>
    </row>
    <row r="19" spans="1:9" x14ac:dyDescent="0.35">
      <c r="A19" s="8" t="s">
        <v>66</v>
      </c>
      <c r="F19" s="132">
        <f>填写区域!B32</f>
        <v>0</v>
      </c>
      <c r="G19" s="132"/>
      <c r="H19" s="132"/>
      <c r="I19" s="132"/>
    </row>
    <row r="20" spans="1:9" x14ac:dyDescent="0.35">
      <c r="A20" s="8" t="s">
        <v>68</v>
      </c>
      <c r="F20" s="132">
        <f>填写区域!B33</f>
        <v>0</v>
      </c>
      <c r="G20" s="132"/>
      <c r="H20" s="132"/>
      <c r="I20" s="132"/>
    </row>
    <row r="21" spans="1:9" x14ac:dyDescent="0.35">
      <c r="A21" s="8" t="s">
        <v>15</v>
      </c>
      <c r="F21" s="133" t="str">
        <f>填写区域!B5</f>
        <v>AC251001</v>
      </c>
      <c r="G21" s="132"/>
      <c r="H21" s="132"/>
      <c r="I21" s="132"/>
    </row>
    <row r="23" spans="1:9" x14ac:dyDescent="0.35">
      <c r="F23" s="134" t="str">
        <f>IF(填写区域!B26="L/C 90 days after B/L date","Ship on board date "&amp;填写区域!F28,"loading date."&amp;填写区域!F28)</f>
        <v>Ship on board date 1900 January 0ᵗʰ</v>
      </c>
      <c r="G23" s="134"/>
      <c r="H23" s="134"/>
      <c r="I23" s="134"/>
    </row>
    <row r="24" spans="1:9" x14ac:dyDescent="0.35">
      <c r="F24" s="11"/>
    </row>
    <row r="25" spans="1:9" ht="25" customHeight="1" x14ac:dyDescent="0.35">
      <c r="A25" s="12" t="str">
        <f>IF(OR(填写区域!B17="organic lactose",填写区域!B17="organic demineralised whey powder 90%"),"DE-ÖKO-006","")</f>
        <v>DE-ÖKO-006</v>
      </c>
      <c r="B25" s="2"/>
      <c r="C25" s="2"/>
      <c r="D25" s="2"/>
      <c r="E25" s="2"/>
      <c r="F25" s="2"/>
      <c r="G25" s="2"/>
      <c r="H25" s="2"/>
      <c r="I25" s="2"/>
    </row>
    <row r="28" spans="1:9" ht="20.149999999999999" customHeight="1" x14ac:dyDescent="0.35">
      <c r="A28" s="13"/>
      <c r="B28" s="13"/>
      <c r="C28" s="13"/>
      <c r="D28" s="13"/>
      <c r="E28" s="13"/>
      <c r="F28" s="13"/>
      <c r="G28" s="14" t="s">
        <v>109</v>
      </c>
      <c r="H28" s="135">
        <f>填写区域!B21*1000</f>
        <v>201600</v>
      </c>
      <c r="I28" s="135"/>
    </row>
    <row r="29" spans="1:9" x14ac:dyDescent="0.35">
      <c r="A29" s="15" t="str">
        <f>IF(填写区域!B26="L/C 90 days after B/L date","Payment conditions: L/C 90 days after B/L date (I.E. "&amp;TEXT(填写区域!B35,"DD.MM.YYYY")&amp;"）","Payment conditions: "&amp;填写区域!B26)</f>
        <v>Payment conditions: L/C 90 days after B/L date (I.E. 30.03.1900）</v>
      </c>
    </row>
    <row r="30" spans="1:9" x14ac:dyDescent="0.35">
      <c r="A30" s="3" t="str">
        <f>"Container Reference No.: "&amp;填写区域!B4</f>
        <v>Container Reference No.: C253-34</v>
      </c>
    </row>
    <row r="31" spans="1:9" x14ac:dyDescent="0.35">
      <c r="A31" s="3" t="str">
        <f>IF(填写区域!B26="L/C 90 days after B/L date","L/C No.: "&amp;填写区域!B34,"")</f>
        <v>L/C No.: 0</v>
      </c>
    </row>
    <row r="33" spans="1:9" x14ac:dyDescent="0.35">
      <c r="G33" s="58" t="str">
        <f>填写区域!B6</f>
        <v>Advanced Ingredients AG</v>
      </c>
    </row>
    <row r="34" spans="1:9" ht="95.15" customHeight="1" x14ac:dyDescent="0.35">
      <c r="H34" s="16"/>
    </row>
    <row r="35" spans="1:9" ht="90.75" customHeight="1" x14ac:dyDescent="0.35">
      <c r="A35" s="128" t="str">
        <f>VLOOKUP(G33,参数库!A:F,6,)</f>
        <v xml:space="preserve">Advanced Ingredients AG
Postanschrift: Mühlenstrasse 26, 8200, Schaffhausen, Switzerland, Tel.:+41 78 933 8098
office@advanced-ingredients.com, UID-Nr: PID197648, Firmennummer: CHE-381.983.314
Kreissparkasse Biberach, BIC / Swift Code: SBCRDE66, IBAN: DE84 6545 0070 0008 4455 57 </v>
      </c>
      <c r="B35" s="128"/>
      <c r="C35" s="128"/>
      <c r="D35" s="128"/>
      <c r="E35" s="128"/>
      <c r="F35" s="128"/>
      <c r="G35" s="128"/>
      <c r="H35" s="128"/>
      <c r="I35" s="128"/>
    </row>
  </sheetData>
  <mergeCells count="15">
    <mergeCell ref="G1:I1"/>
    <mergeCell ref="A3:I3"/>
    <mergeCell ref="A5:I5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3:I23"/>
    <mergeCell ref="H28:I28"/>
    <mergeCell ref="A35:I35"/>
  </mergeCells>
  <phoneticPr fontId="38" type="noConversion"/>
  <pageMargins left="0.70866141732283505" right="0.70866141732283505" top="0.81805555555555598" bottom="0.74803149606299202" header="0.31496062992126" footer="0.31496062992126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5"/>
  <sheetViews>
    <sheetView view="pageLayout" topLeftCell="A16" zoomScale="70" zoomScaleNormal="100" zoomScalePageLayoutView="70" workbookViewId="0">
      <selection activeCell="A19" sqref="A19"/>
    </sheetView>
  </sheetViews>
  <sheetFormatPr defaultColWidth="9" defaultRowHeight="14.15" x14ac:dyDescent="0.35"/>
  <cols>
    <col min="1" max="1" width="14.85546875" customWidth="1"/>
    <col min="6" max="6" width="7.2109375" customWidth="1"/>
    <col min="7" max="7" width="7.85546875" customWidth="1"/>
    <col min="8" max="8" width="5.0703125" customWidth="1"/>
    <col min="9" max="10" width="10.85546875" customWidth="1"/>
  </cols>
  <sheetData>
    <row r="1" spans="1:9" ht="62.15" customHeight="1" x14ac:dyDescent="0.35">
      <c r="A1" s="125" t="str">
        <f>填写区域!B6</f>
        <v>Advanced Ingredients AG</v>
      </c>
      <c r="B1" s="125"/>
      <c r="C1" s="125"/>
      <c r="D1" s="125"/>
      <c r="E1" s="125"/>
      <c r="F1" s="125"/>
      <c r="G1" s="125"/>
      <c r="H1" s="125"/>
      <c r="I1" s="125"/>
    </row>
    <row r="2" spans="1:9" x14ac:dyDescent="0.35">
      <c r="A2" s="53" t="str">
        <f>填写区域!B11</f>
        <v>AHCOF NEOCHAINS HOLDINGS CO., LTD.</v>
      </c>
    </row>
    <row r="3" spans="1:9" ht="30" customHeight="1" x14ac:dyDescent="0.35">
      <c r="A3" s="136" t="str">
        <f>填写区域!B12&amp;填写区域!B13&amp;","&amp;填写区域!B14</f>
        <v>32F, BUILDING NO. 1, AHCOF CENTER, NO. 986, HUAYUAN AVENUE,Hefei, Anhui,,China</v>
      </c>
      <c r="B3" s="136"/>
      <c r="C3" s="136"/>
      <c r="D3" s="136"/>
      <c r="E3" s="136"/>
      <c r="F3" s="136"/>
      <c r="G3" s="136"/>
      <c r="H3" s="136"/>
      <c r="I3" s="136"/>
    </row>
    <row r="4" spans="1:9" x14ac:dyDescent="0.35">
      <c r="A4" s="53"/>
    </row>
    <row r="5" spans="1:9" x14ac:dyDescent="0.35">
      <c r="A5" s="53"/>
    </row>
    <row r="6" spans="1:9" x14ac:dyDescent="0.35">
      <c r="A6" s="53"/>
    </row>
    <row r="7" spans="1:9" x14ac:dyDescent="0.35">
      <c r="A7" s="53"/>
    </row>
    <row r="8" spans="1:9" x14ac:dyDescent="0.35">
      <c r="A8" s="53"/>
    </row>
    <row r="11" spans="1:9" ht="20.149999999999999" x14ac:dyDescent="0.35">
      <c r="E11" s="54" t="s">
        <v>73</v>
      </c>
    </row>
    <row r="12" spans="1:9" x14ac:dyDescent="0.35">
      <c r="E12" s="55" t="s">
        <v>110</v>
      </c>
    </row>
    <row r="14" spans="1:9" x14ac:dyDescent="0.35">
      <c r="A14" s="56" t="s">
        <v>111</v>
      </c>
    </row>
    <row r="15" spans="1:9" x14ac:dyDescent="0.35">
      <c r="A15" s="56" t="s">
        <v>112</v>
      </c>
    </row>
    <row r="16" spans="1:9" x14ac:dyDescent="0.35">
      <c r="A16" s="56"/>
    </row>
    <row r="17" spans="1:2" x14ac:dyDescent="0.35">
      <c r="A17" s="56"/>
    </row>
    <row r="19" spans="1:2" x14ac:dyDescent="0.35">
      <c r="A19" s="118" t="s">
        <v>181</v>
      </c>
      <c r="B19" t="str">
        <f>填写区域!B17</f>
        <v>organic demineralised whey powder 90%</v>
      </c>
    </row>
    <row r="20" spans="1:2" x14ac:dyDescent="0.35">
      <c r="A20" s="118" t="s">
        <v>254</v>
      </c>
      <c r="B20" t="str">
        <f>填写区域!B18</f>
        <v>LVEO</v>
      </c>
    </row>
    <row r="21" spans="1:2" x14ac:dyDescent="0.35">
      <c r="A21" s="118" t="s">
        <v>255</v>
      </c>
      <c r="B21" s="7" t="str">
        <f>填写区域!B5</f>
        <v>AC251001</v>
      </c>
    </row>
    <row r="22" spans="1:2" x14ac:dyDescent="0.35">
      <c r="A22" t="s">
        <v>113</v>
      </c>
      <c r="B22" t="str">
        <f>填写区域!F19</f>
        <v>18.00 MT</v>
      </c>
    </row>
    <row r="23" spans="1:2" x14ac:dyDescent="0.35">
      <c r="A23" t="s">
        <v>66</v>
      </c>
      <c r="B23">
        <f>填写区域!B32</f>
        <v>0</v>
      </c>
    </row>
    <row r="24" spans="1:2" x14ac:dyDescent="0.35">
      <c r="A24" t="s">
        <v>68</v>
      </c>
      <c r="B24">
        <f>填写区域!B33</f>
        <v>0</v>
      </c>
    </row>
    <row r="25" spans="1:2" x14ac:dyDescent="0.35">
      <c r="A25" t="s">
        <v>114</v>
      </c>
      <c r="B25">
        <f>填写区域!B38</f>
        <v>0</v>
      </c>
    </row>
    <row r="26" spans="1:2" x14ac:dyDescent="0.35">
      <c r="A26" t="s">
        <v>115</v>
      </c>
      <c r="B26" t="str">
        <f>填写区域!B23</f>
        <v>CIF Tianjin, Xingang,China (Incoterms 2020)</v>
      </c>
    </row>
    <row r="32" spans="1:2" ht="15.9" x14ac:dyDescent="0.45">
      <c r="A32" s="57" t="str">
        <f>填写区域!B6</f>
        <v>Advanced Ingredients AG</v>
      </c>
    </row>
    <row r="33" spans="1:7" x14ac:dyDescent="0.35">
      <c r="A33" t="str">
        <f>填写区域!B7</f>
        <v>Mühlenstrasse 26, 8200,</v>
      </c>
      <c r="G33" t="str">
        <f>填写区域!B39&amp;TEXT(填写区域!B40,"dd.mm.yyyy")</f>
        <v>Schaffhausen00.01.1900</v>
      </c>
    </row>
    <row r="34" spans="1:7" x14ac:dyDescent="0.35">
      <c r="A34" t="str">
        <f>填写区域!B8</f>
        <v>Schaffhausen</v>
      </c>
    </row>
    <row r="35" spans="1:7" x14ac:dyDescent="0.35">
      <c r="A35" t="str">
        <f>填写区域!B9</f>
        <v>Switzerland</v>
      </c>
    </row>
  </sheetData>
  <mergeCells count="2">
    <mergeCell ref="A1:I1"/>
    <mergeCell ref="A3:I3"/>
  </mergeCells>
  <phoneticPr fontId="38" type="noConversion"/>
  <pageMargins left="0.57986111111111105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O56"/>
  <sheetViews>
    <sheetView zoomScale="85" zoomScaleNormal="85" workbookViewId="0">
      <selection activeCell="G20" sqref="G20"/>
    </sheetView>
  </sheetViews>
  <sheetFormatPr defaultColWidth="10.35546875" defaultRowHeight="12.45" x14ac:dyDescent="0.3"/>
  <cols>
    <col min="1" max="1" width="7" style="30" customWidth="1"/>
    <col min="2" max="2" width="8.5703125" style="30" customWidth="1"/>
    <col min="3" max="3" width="5" style="30" customWidth="1"/>
    <col min="4" max="4" width="16.5703125" style="30" customWidth="1"/>
    <col min="5" max="5" width="1.5" style="30" customWidth="1"/>
    <col min="6" max="6" width="8.85546875" style="30" customWidth="1"/>
    <col min="7" max="7" width="9.85546875" style="30" customWidth="1"/>
    <col min="8" max="8" width="4.5703125" style="30" customWidth="1"/>
    <col min="9" max="9" width="17.35546875" style="30" customWidth="1"/>
    <col min="10" max="10" width="23.2109375" style="30" customWidth="1"/>
    <col min="11" max="11" width="1.35546875" style="30" customWidth="1"/>
    <col min="12" max="12" width="12.35546875" style="30" customWidth="1"/>
    <col min="13" max="13" width="28.0703125" style="30" customWidth="1"/>
    <col min="14" max="14" width="1.35546875" style="30" customWidth="1"/>
    <col min="15" max="256" width="10.35546875" style="30"/>
    <col min="257" max="257" width="7" style="30" customWidth="1"/>
    <col min="258" max="258" width="4.0703125" style="30" customWidth="1"/>
    <col min="259" max="259" width="5" style="30" customWidth="1"/>
    <col min="260" max="260" width="16.5703125" style="30" customWidth="1"/>
    <col min="261" max="261" width="1.5" style="30" customWidth="1"/>
    <col min="262" max="262" width="8.85546875" style="30" customWidth="1"/>
    <col min="263" max="263" width="9.0703125" style="30" customWidth="1"/>
    <col min="264" max="264" width="4.5703125" style="30" customWidth="1"/>
    <col min="265" max="265" width="17.35546875" style="30" customWidth="1"/>
    <col min="266" max="266" width="23.2109375" style="30" customWidth="1"/>
    <col min="267" max="267" width="1.35546875" style="30" customWidth="1"/>
    <col min="268" max="268" width="12.35546875" style="30" customWidth="1"/>
    <col min="269" max="269" width="28.0703125" style="30" customWidth="1"/>
    <col min="270" max="270" width="1.35546875" style="30" customWidth="1"/>
    <col min="271" max="512" width="10.35546875" style="30"/>
    <col min="513" max="513" width="7" style="30" customWidth="1"/>
    <col min="514" max="514" width="4.0703125" style="30" customWidth="1"/>
    <col min="515" max="515" width="5" style="30" customWidth="1"/>
    <col min="516" max="516" width="16.5703125" style="30" customWidth="1"/>
    <col min="517" max="517" width="1.5" style="30" customWidth="1"/>
    <col min="518" max="518" width="8.85546875" style="30" customWidth="1"/>
    <col min="519" max="519" width="9.0703125" style="30" customWidth="1"/>
    <col min="520" max="520" width="4.5703125" style="30" customWidth="1"/>
    <col min="521" max="521" width="17.35546875" style="30" customWidth="1"/>
    <col min="522" max="522" width="23.2109375" style="30" customWidth="1"/>
    <col min="523" max="523" width="1.35546875" style="30" customWidth="1"/>
    <col min="524" max="524" width="12.35546875" style="30" customWidth="1"/>
    <col min="525" max="525" width="28.0703125" style="30" customWidth="1"/>
    <col min="526" max="526" width="1.35546875" style="30" customWidth="1"/>
    <col min="527" max="768" width="10.35546875" style="30"/>
    <col min="769" max="769" width="7" style="30" customWidth="1"/>
    <col min="770" max="770" width="4.0703125" style="30" customWidth="1"/>
    <col min="771" max="771" width="5" style="30" customWidth="1"/>
    <col min="772" max="772" width="16.5703125" style="30" customWidth="1"/>
    <col min="773" max="773" width="1.5" style="30" customWidth="1"/>
    <col min="774" max="774" width="8.85546875" style="30" customWidth="1"/>
    <col min="775" max="775" width="9.0703125" style="30" customWidth="1"/>
    <col min="776" max="776" width="4.5703125" style="30" customWidth="1"/>
    <col min="777" max="777" width="17.35546875" style="30" customWidth="1"/>
    <col min="778" max="778" width="23.2109375" style="30" customWidth="1"/>
    <col min="779" max="779" width="1.35546875" style="30" customWidth="1"/>
    <col min="780" max="780" width="12.35546875" style="30" customWidth="1"/>
    <col min="781" max="781" width="28.0703125" style="30" customWidth="1"/>
    <col min="782" max="782" width="1.35546875" style="30" customWidth="1"/>
    <col min="783" max="1024" width="10.35546875" style="30"/>
    <col min="1025" max="1025" width="7" style="30" customWidth="1"/>
    <col min="1026" max="1026" width="4.0703125" style="30" customWidth="1"/>
    <col min="1027" max="1027" width="5" style="30" customWidth="1"/>
    <col min="1028" max="1028" width="16.5703125" style="30" customWidth="1"/>
    <col min="1029" max="1029" width="1.5" style="30" customWidth="1"/>
    <col min="1030" max="1030" width="8.85546875" style="30" customWidth="1"/>
    <col min="1031" max="1031" width="9.0703125" style="30" customWidth="1"/>
    <col min="1032" max="1032" width="4.5703125" style="30" customWidth="1"/>
    <col min="1033" max="1033" width="17.35546875" style="30" customWidth="1"/>
    <col min="1034" max="1034" width="23.2109375" style="30" customWidth="1"/>
    <col min="1035" max="1035" width="1.35546875" style="30" customWidth="1"/>
    <col min="1036" max="1036" width="12.35546875" style="30" customWidth="1"/>
    <col min="1037" max="1037" width="28.0703125" style="30" customWidth="1"/>
    <col min="1038" max="1038" width="1.35546875" style="30" customWidth="1"/>
    <col min="1039" max="1280" width="10.35546875" style="30"/>
    <col min="1281" max="1281" width="7" style="30" customWidth="1"/>
    <col min="1282" max="1282" width="4.0703125" style="30" customWidth="1"/>
    <col min="1283" max="1283" width="5" style="30" customWidth="1"/>
    <col min="1284" max="1284" width="16.5703125" style="30" customWidth="1"/>
    <col min="1285" max="1285" width="1.5" style="30" customWidth="1"/>
    <col min="1286" max="1286" width="8.85546875" style="30" customWidth="1"/>
    <col min="1287" max="1287" width="9.0703125" style="30" customWidth="1"/>
    <col min="1288" max="1288" width="4.5703125" style="30" customWidth="1"/>
    <col min="1289" max="1289" width="17.35546875" style="30" customWidth="1"/>
    <col min="1290" max="1290" width="23.2109375" style="30" customWidth="1"/>
    <col min="1291" max="1291" width="1.35546875" style="30" customWidth="1"/>
    <col min="1292" max="1292" width="12.35546875" style="30" customWidth="1"/>
    <col min="1293" max="1293" width="28.0703125" style="30" customWidth="1"/>
    <col min="1294" max="1294" width="1.35546875" style="30" customWidth="1"/>
    <col min="1295" max="1536" width="10.35546875" style="30"/>
    <col min="1537" max="1537" width="7" style="30" customWidth="1"/>
    <col min="1538" max="1538" width="4.0703125" style="30" customWidth="1"/>
    <col min="1539" max="1539" width="5" style="30" customWidth="1"/>
    <col min="1540" max="1540" width="16.5703125" style="30" customWidth="1"/>
    <col min="1541" max="1541" width="1.5" style="30" customWidth="1"/>
    <col min="1542" max="1542" width="8.85546875" style="30" customWidth="1"/>
    <col min="1543" max="1543" width="9.0703125" style="30" customWidth="1"/>
    <col min="1544" max="1544" width="4.5703125" style="30" customWidth="1"/>
    <col min="1545" max="1545" width="17.35546875" style="30" customWidth="1"/>
    <col min="1546" max="1546" width="23.2109375" style="30" customWidth="1"/>
    <col min="1547" max="1547" width="1.35546875" style="30" customWidth="1"/>
    <col min="1548" max="1548" width="12.35546875" style="30" customWidth="1"/>
    <col min="1549" max="1549" width="28.0703125" style="30" customWidth="1"/>
    <col min="1550" max="1550" width="1.35546875" style="30" customWidth="1"/>
    <col min="1551" max="1792" width="10.35546875" style="30"/>
    <col min="1793" max="1793" width="7" style="30" customWidth="1"/>
    <col min="1794" max="1794" width="4.0703125" style="30" customWidth="1"/>
    <col min="1795" max="1795" width="5" style="30" customWidth="1"/>
    <col min="1796" max="1796" width="16.5703125" style="30" customWidth="1"/>
    <col min="1797" max="1797" width="1.5" style="30" customWidth="1"/>
    <col min="1798" max="1798" width="8.85546875" style="30" customWidth="1"/>
    <col min="1799" max="1799" width="9.0703125" style="30" customWidth="1"/>
    <col min="1800" max="1800" width="4.5703125" style="30" customWidth="1"/>
    <col min="1801" max="1801" width="17.35546875" style="30" customWidth="1"/>
    <col min="1802" max="1802" width="23.2109375" style="30" customWidth="1"/>
    <col min="1803" max="1803" width="1.35546875" style="30" customWidth="1"/>
    <col min="1804" max="1804" width="12.35546875" style="30" customWidth="1"/>
    <col min="1805" max="1805" width="28.0703125" style="30" customWidth="1"/>
    <col min="1806" max="1806" width="1.35546875" style="30" customWidth="1"/>
    <col min="1807" max="2048" width="10.35546875" style="30"/>
    <col min="2049" max="2049" width="7" style="30" customWidth="1"/>
    <col min="2050" max="2050" width="4.0703125" style="30" customWidth="1"/>
    <col min="2051" max="2051" width="5" style="30" customWidth="1"/>
    <col min="2052" max="2052" width="16.5703125" style="30" customWidth="1"/>
    <col min="2053" max="2053" width="1.5" style="30" customWidth="1"/>
    <col min="2054" max="2054" width="8.85546875" style="30" customWidth="1"/>
    <col min="2055" max="2055" width="9.0703125" style="30" customWidth="1"/>
    <col min="2056" max="2056" width="4.5703125" style="30" customWidth="1"/>
    <col min="2057" max="2057" width="17.35546875" style="30" customWidth="1"/>
    <col min="2058" max="2058" width="23.2109375" style="30" customWidth="1"/>
    <col min="2059" max="2059" width="1.35546875" style="30" customWidth="1"/>
    <col min="2060" max="2060" width="12.35546875" style="30" customWidth="1"/>
    <col min="2061" max="2061" width="28.0703125" style="30" customWidth="1"/>
    <col min="2062" max="2062" width="1.35546875" style="30" customWidth="1"/>
    <col min="2063" max="2304" width="10.35546875" style="30"/>
    <col min="2305" max="2305" width="7" style="30" customWidth="1"/>
    <col min="2306" max="2306" width="4.0703125" style="30" customWidth="1"/>
    <col min="2307" max="2307" width="5" style="30" customWidth="1"/>
    <col min="2308" max="2308" width="16.5703125" style="30" customWidth="1"/>
    <col min="2309" max="2309" width="1.5" style="30" customWidth="1"/>
    <col min="2310" max="2310" width="8.85546875" style="30" customWidth="1"/>
    <col min="2311" max="2311" width="9.0703125" style="30" customWidth="1"/>
    <col min="2312" max="2312" width="4.5703125" style="30" customWidth="1"/>
    <col min="2313" max="2313" width="17.35546875" style="30" customWidth="1"/>
    <col min="2314" max="2314" width="23.2109375" style="30" customWidth="1"/>
    <col min="2315" max="2315" width="1.35546875" style="30" customWidth="1"/>
    <col min="2316" max="2316" width="12.35546875" style="30" customWidth="1"/>
    <col min="2317" max="2317" width="28.0703125" style="30" customWidth="1"/>
    <col min="2318" max="2318" width="1.35546875" style="30" customWidth="1"/>
    <col min="2319" max="2560" width="10.35546875" style="30"/>
    <col min="2561" max="2561" width="7" style="30" customWidth="1"/>
    <col min="2562" max="2562" width="4.0703125" style="30" customWidth="1"/>
    <col min="2563" max="2563" width="5" style="30" customWidth="1"/>
    <col min="2564" max="2564" width="16.5703125" style="30" customWidth="1"/>
    <col min="2565" max="2565" width="1.5" style="30" customWidth="1"/>
    <col min="2566" max="2566" width="8.85546875" style="30" customWidth="1"/>
    <col min="2567" max="2567" width="9.0703125" style="30" customWidth="1"/>
    <col min="2568" max="2568" width="4.5703125" style="30" customWidth="1"/>
    <col min="2569" max="2569" width="17.35546875" style="30" customWidth="1"/>
    <col min="2570" max="2570" width="23.2109375" style="30" customWidth="1"/>
    <col min="2571" max="2571" width="1.35546875" style="30" customWidth="1"/>
    <col min="2572" max="2572" width="12.35546875" style="30" customWidth="1"/>
    <col min="2573" max="2573" width="28.0703125" style="30" customWidth="1"/>
    <col min="2574" max="2574" width="1.35546875" style="30" customWidth="1"/>
    <col min="2575" max="2816" width="10.35546875" style="30"/>
    <col min="2817" max="2817" width="7" style="30" customWidth="1"/>
    <col min="2818" max="2818" width="4.0703125" style="30" customWidth="1"/>
    <col min="2819" max="2819" width="5" style="30" customWidth="1"/>
    <col min="2820" max="2820" width="16.5703125" style="30" customWidth="1"/>
    <col min="2821" max="2821" width="1.5" style="30" customWidth="1"/>
    <col min="2822" max="2822" width="8.85546875" style="30" customWidth="1"/>
    <col min="2823" max="2823" width="9.0703125" style="30" customWidth="1"/>
    <col min="2824" max="2824" width="4.5703125" style="30" customWidth="1"/>
    <col min="2825" max="2825" width="17.35546875" style="30" customWidth="1"/>
    <col min="2826" max="2826" width="23.2109375" style="30" customWidth="1"/>
    <col min="2827" max="2827" width="1.35546875" style="30" customWidth="1"/>
    <col min="2828" max="2828" width="12.35546875" style="30" customWidth="1"/>
    <col min="2829" max="2829" width="28.0703125" style="30" customWidth="1"/>
    <col min="2830" max="2830" width="1.35546875" style="30" customWidth="1"/>
    <col min="2831" max="3072" width="10.35546875" style="30"/>
    <col min="3073" max="3073" width="7" style="30" customWidth="1"/>
    <col min="3074" max="3074" width="4.0703125" style="30" customWidth="1"/>
    <col min="3075" max="3075" width="5" style="30" customWidth="1"/>
    <col min="3076" max="3076" width="16.5703125" style="30" customWidth="1"/>
    <col min="3077" max="3077" width="1.5" style="30" customWidth="1"/>
    <col min="3078" max="3078" width="8.85546875" style="30" customWidth="1"/>
    <col min="3079" max="3079" width="9.0703125" style="30" customWidth="1"/>
    <col min="3080" max="3080" width="4.5703125" style="30" customWidth="1"/>
    <col min="3081" max="3081" width="17.35546875" style="30" customWidth="1"/>
    <col min="3082" max="3082" width="23.2109375" style="30" customWidth="1"/>
    <col min="3083" max="3083" width="1.35546875" style="30" customWidth="1"/>
    <col min="3084" max="3084" width="12.35546875" style="30" customWidth="1"/>
    <col min="3085" max="3085" width="28.0703125" style="30" customWidth="1"/>
    <col min="3086" max="3086" width="1.35546875" style="30" customWidth="1"/>
    <col min="3087" max="3328" width="10.35546875" style="30"/>
    <col min="3329" max="3329" width="7" style="30" customWidth="1"/>
    <col min="3330" max="3330" width="4.0703125" style="30" customWidth="1"/>
    <col min="3331" max="3331" width="5" style="30" customWidth="1"/>
    <col min="3332" max="3332" width="16.5703125" style="30" customWidth="1"/>
    <col min="3333" max="3333" width="1.5" style="30" customWidth="1"/>
    <col min="3334" max="3334" width="8.85546875" style="30" customWidth="1"/>
    <col min="3335" max="3335" width="9.0703125" style="30" customWidth="1"/>
    <col min="3336" max="3336" width="4.5703125" style="30" customWidth="1"/>
    <col min="3337" max="3337" width="17.35546875" style="30" customWidth="1"/>
    <col min="3338" max="3338" width="23.2109375" style="30" customWidth="1"/>
    <col min="3339" max="3339" width="1.35546875" style="30" customWidth="1"/>
    <col min="3340" max="3340" width="12.35546875" style="30" customWidth="1"/>
    <col min="3341" max="3341" width="28.0703125" style="30" customWidth="1"/>
    <col min="3342" max="3342" width="1.35546875" style="30" customWidth="1"/>
    <col min="3343" max="3584" width="10.35546875" style="30"/>
    <col min="3585" max="3585" width="7" style="30" customWidth="1"/>
    <col min="3586" max="3586" width="4.0703125" style="30" customWidth="1"/>
    <col min="3587" max="3587" width="5" style="30" customWidth="1"/>
    <col min="3588" max="3588" width="16.5703125" style="30" customWidth="1"/>
    <col min="3589" max="3589" width="1.5" style="30" customWidth="1"/>
    <col min="3590" max="3590" width="8.85546875" style="30" customWidth="1"/>
    <col min="3591" max="3591" width="9.0703125" style="30" customWidth="1"/>
    <col min="3592" max="3592" width="4.5703125" style="30" customWidth="1"/>
    <col min="3593" max="3593" width="17.35546875" style="30" customWidth="1"/>
    <col min="3594" max="3594" width="23.2109375" style="30" customWidth="1"/>
    <col min="3595" max="3595" width="1.35546875" style="30" customWidth="1"/>
    <col min="3596" max="3596" width="12.35546875" style="30" customWidth="1"/>
    <col min="3597" max="3597" width="28.0703125" style="30" customWidth="1"/>
    <col min="3598" max="3598" width="1.35546875" style="30" customWidth="1"/>
    <col min="3599" max="3840" width="10.35546875" style="30"/>
    <col min="3841" max="3841" width="7" style="30" customWidth="1"/>
    <col min="3842" max="3842" width="4.0703125" style="30" customWidth="1"/>
    <col min="3843" max="3843" width="5" style="30" customWidth="1"/>
    <col min="3844" max="3844" width="16.5703125" style="30" customWidth="1"/>
    <col min="3845" max="3845" width="1.5" style="30" customWidth="1"/>
    <col min="3846" max="3846" width="8.85546875" style="30" customWidth="1"/>
    <col min="3847" max="3847" width="9.0703125" style="30" customWidth="1"/>
    <col min="3848" max="3848" width="4.5703125" style="30" customWidth="1"/>
    <col min="3849" max="3849" width="17.35546875" style="30" customWidth="1"/>
    <col min="3850" max="3850" width="23.2109375" style="30" customWidth="1"/>
    <col min="3851" max="3851" width="1.35546875" style="30" customWidth="1"/>
    <col min="3852" max="3852" width="12.35546875" style="30" customWidth="1"/>
    <col min="3853" max="3853" width="28.0703125" style="30" customWidth="1"/>
    <col min="3854" max="3854" width="1.35546875" style="30" customWidth="1"/>
    <col min="3855" max="4096" width="10.35546875" style="30"/>
    <col min="4097" max="4097" width="7" style="30" customWidth="1"/>
    <col min="4098" max="4098" width="4.0703125" style="30" customWidth="1"/>
    <col min="4099" max="4099" width="5" style="30" customWidth="1"/>
    <col min="4100" max="4100" width="16.5703125" style="30" customWidth="1"/>
    <col min="4101" max="4101" width="1.5" style="30" customWidth="1"/>
    <col min="4102" max="4102" width="8.85546875" style="30" customWidth="1"/>
    <col min="4103" max="4103" width="9.0703125" style="30" customWidth="1"/>
    <col min="4104" max="4104" width="4.5703125" style="30" customWidth="1"/>
    <col min="4105" max="4105" width="17.35546875" style="30" customWidth="1"/>
    <col min="4106" max="4106" width="23.2109375" style="30" customWidth="1"/>
    <col min="4107" max="4107" width="1.35546875" style="30" customWidth="1"/>
    <col min="4108" max="4108" width="12.35546875" style="30" customWidth="1"/>
    <col min="4109" max="4109" width="28.0703125" style="30" customWidth="1"/>
    <col min="4110" max="4110" width="1.35546875" style="30" customWidth="1"/>
    <col min="4111" max="4352" width="10.35546875" style="30"/>
    <col min="4353" max="4353" width="7" style="30" customWidth="1"/>
    <col min="4354" max="4354" width="4.0703125" style="30" customWidth="1"/>
    <col min="4355" max="4355" width="5" style="30" customWidth="1"/>
    <col min="4356" max="4356" width="16.5703125" style="30" customWidth="1"/>
    <col min="4357" max="4357" width="1.5" style="30" customWidth="1"/>
    <col min="4358" max="4358" width="8.85546875" style="30" customWidth="1"/>
    <col min="4359" max="4359" width="9.0703125" style="30" customWidth="1"/>
    <col min="4360" max="4360" width="4.5703125" style="30" customWidth="1"/>
    <col min="4361" max="4361" width="17.35546875" style="30" customWidth="1"/>
    <col min="4362" max="4362" width="23.2109375" style="30" customWidth="1"/>
    <col min="4363" max="4363" width="1.35546875" style="30" customWidth="1"/>
    <col min="4364" max="4364" width="12.35546875" style="30" customWidth="1"/>
    <col min="4365" max="4365" width="28.0703125" style="30" customWidth="1"/>
    <col min="4366" max="4366" width="1.35546875" style="30" customWidth="1"/>
    <col min="4367" max="4608" width="10.35546875" style="30"/>
    <col min="4609" max="4609" width="7" style="30" customWidth="1"/>
    <col min="4610" max="4610" width="4.0703125" style="30" customWidth="1"/>
    <col min="4611" max="4611" width="5" style="30" customWidth="1"/>
    <col min="4612" max="4612" width="16.5703125" style="30" customWidth="1"/>
    <col min="4613" max="4613" width="1.5" style="30" customWidth="1"/>
    <col min="4614" max="4614" width="8.85546875" style="30" customWidth="1"/>
    <col min="4615" max="4615" width="9.0703125" style="30" customWidth="1"/>
    <col min="4616" max="4616" width="4.5703125" style="30" customWidth="1"/>
    <col min="4617" max="4617" width="17.35546875" style="30" customWidth="1"/>
    <col min="4618" max="4618" width="23.2109375" style="30" customWidth="1"/>
    <col min="4619" max="4619" width="1.35546875" style="30" customWidth="1"/>
    <col min="4620" max="4620" width="12.35546875" style="30" customWidth="1"/>
    <col min="4621" max="4621" width="28.0703125" style="30" customWidth="1"/>
    <col min="4622" max="4622" width="1.35546875" style="30" customWidth="1"/>
    <col min="4623" max="4864" width="10.35546875" style="30"/>
    <col min="4865" max="4865" width="7" style="30" customWidth="1"/>
    <col min="4866" max="4866" width="4.0703125" style="30" customWidth="1"/>
    <col min="4867" max="4867" width="5" style="30" customWidth="1"/>
    <col min="4868" max="4868" width="16.5703125" style="30" customWidth="1"/>
    <col min="4869" max="4869" width="1.5" style="30" customWidth="1"/>
    <col min="4870" max="4870" width="8.85546875" style="30" customWidth="1"/>
    <col min="4871" max="4871" width="9.0703125" style="30" customWidth="1"/>
    <col min="4872" max="4872" width="4.5703125" style="30" customWidth="1"/>
    <col min="4873" max="4873" width="17.35546875" style="30" customWidth="1"/>
    <col min="4874" max="4874" width="23.2109375" style="30" customWidth="1"/>
    <col min="4875" max="4875" width="1.35546875" style="30" customWidth="1"/>
    <col min="4876" max="4876" width="12.35546875" style="30" customWidth="1"/>
    <col min="4877" max="4877" width="28.0703125" style="30" customWidth="1"/>
    <col min="4878" max="4878" width="1.35546875" style="30" customWidth="1"/>
    <col min="4879" max="5120" width="10.35546875" style="30"/>
    <col min="5121" max="5121" width="7" style="30" customWidth="1"/>
    <col min="5122" max="5122" width="4.0703125" style="30" customWidth="1"/>
    <col min="5123" max="5123" width="5" style="30" customWidth="1"/>
    <col min="5124" max="5124" width="16.5703125" style="30" customWidth="1"/>
    <col min="5125" max="5125" width="1.5" style="30" customWidth="1"/>
    <col min="5126" max="5126" width="8.85546875" style="30" customWidth="1"/>
    <col min="5127" max="5127" width="9.0703125" style="30" customWidth="1"/>
    <col min="5128" max="5128" width="4.5703125" style="30" customWidth="1"/>
    <col min="5129" max="5129" width="17.35546875" style="30" customWidth="1"/>
    <col min="5130" max="5130" width="23.2109375" style="30" customWidth="1"/>
    <col min="5131" max="5131" width="1.35546875" style="30" customWidth="1"/>
    <col min="5132" max="5132" width="12.35546875" style="30" customWidth="1"/>
    <col min="5133" max="5133" width="28.0703125" style="30" customWidth="1"/>
    <col min="5134" max="5134" width="1.35546875" style="30" customWidth="1"/>
    <col min="5135" max="5376" width="10.35546875" style="30"/>
    <col min="5377" max="5377" width="7" style="30" customWidth="1"/>
    <col min="5378" max="5378" width="4.0703125" style="30" customWidth="1"/>
    <col min="5379" max="5379" width="5" style="30" customWidth="1"/>
    <col min="5380" max="5380" width="16.5703125" style="30" customWidth="1"/>
    <col min="5381" max="5381" width="1.5" style="30" customWidth="1"/>
    <col min="5382" max="5382" width="8.85546875" style="30" customWidth="1"/>
    <col min="5383" max="5383" width="9.0703125" style="30" customWidth="1"/>
    <col min="5384" max="5384" width="4.5703125" style="30" customWidth="1"/>
    <col min="5385" max="5385" width="17.35546875" style="30" customWidth="1"/>
    <col min="5386" max="5386" width="23.2109375" style="30" customWidth="1"/>
    <col min="5387" max="5387" width="1.35546875" style="30" customWidth="1"/>
    <col min="5388" max="5388" width="12.35546875" style="30" customWidth="1"/>
    <col min="5389" max="5389" width="28.0703125" style="30" customWidth="1"/>
    <col min="5390" max="5390" width="1.35546875" style="30" customWidth="1"/>
    <col min="5391" max="5632" width="10.35546875" style="30"/>
    <col min="5633" max="5633" width="7" style="30" customWidth="1"/>
    <col min="5634" max="5634" width="4.0703125" style="30" customWidth="1"/>
    <col min="5635" max="5635" width="5" style="30" customWidth="1"/>
    <col min="5636" max="5636" width="16.5703125" style="30" customWidth="1"/>
    <col min="5637" max="5637" width="1.5" style="30" customWidth="1"/>
    <col min="5638" max="5638" width="8.85546875" style="30" customWidth="1"/>
    <col min="5639" max="5639" width="9.0703125" style="30" customWidth="1"/>
    <col min="5640" max="5640" width="4.5703125" style="30" customWidth="1"/>
    <col min="5641" max="5641" width="17.35546875" style="30" customWidth="1"/>
    <col min="5642" max="5642" width="23.2109375" style="30" customWidth="1"/>
    <col min="5643" max="5643" width="1.35546875" style="30" customWidth="1"/>
    <col min="5644" max="5644" width="12.35546875" style="30" customWidth="1"/>
    <col min="5645" max="5645" width="28.0703125" style="30" customWidth="1"/>
    <col min="5646" max="5646" width="1.35546875" style="30" customWidth="1"/>
    <col min="5647" max="5888" width="10.35546875" style="30"/>
    <col min="5889" max="5889" width="7" style="30" customWidth="1"/>
    <col min="5890" max="5890" width="4.0703125" style="30" customWidth="1"/>
    <col min="5891" max="5891" width="5" style="30" customWidth="1"/>
    <col min="5892" max="5892" width="16.5703125" style="30" customWidth="1"/>
    <col min="5893" max="5893" width="1.5" style="30" customWidth="1"/>
    <col min="5894" max="5894" width="8.85546875" style="30" customWidth="1"/>
    <col min="5895" max="5895" width="9.0703125" style="30" customWidth="1"/>
    <col min="5896" max="5896" width="4.5703125" style="30" customWidth="1"/>
    <col min="5897" max="5897" width="17.35546875" style="30" customWidth="1"/>
    <col min="5898" max="5898" width="23.2109375" style="30" customWidth="1"/>
    <col min="5899" max="5899" width="1.35546875" style="30" customWidth="1"/>
    <col min="5900" max="5900" width="12.35546875" style="30" customWidth="1"/>
    <col min="5901" max="5901" width="28.0703125" style="30" customWidth="1"/>
    <col min="5902" max="5902" width="1.35546875" style="30" customWidth="1"/>
    <col min="5903" max="6144" width="10.35546875" style="30"/>
    <col min="6145" max="6145" width="7" style="30" customWidth="1"/>
    <col min="6146" max="6146" width="4.0703125" style="30" customWidth="1"/>
    <col min="6147" max="6147" width="5" style="30" customWidth="1"/>
    <col min="6148" max="6148" width="16.5703125" style="30" customWidth="1"/>
    <col min="6149" max="6149" width="1.5" style="30" customWidth="1"/>
    <col min="6150" max="6150" width="8.85546875" style="30" customWidth="1"/>
    <col min="6151" max="6151" width="9.0703125" style="30" customWidth="1"/>
    <col min="6152" max="6152" width="4.5703125" style="30" customWidth="1"/>
    <col min="6153" max="6153" width="17.35546875" style="30" customWidth="1"/>
    <col min="6154" max="6154" width="23.2109375" style="30" customWidth="1"/>
    <col min="6155" max="6155" width="1.35546875" style="30" customWidth="1"/>
    <col min="6156" max="6156" width="12.35546875" style="30" customWidth="1"/>
    <col min="6157" max="6157" width="28.0703125" style="30" customWidth="1"/>
    <col min="6158" max="6158" width="1.35546875" style="30" customWidth="1"/>
    <col min="6159" max="6400" width="10.35546875" style="30"/>
    <col min="6401" max="6401" width="7" style="30" customWidth="1"/>
    <col min="6402" max="6402" width="4.0703125" style="30" customWidth="1"/>
    <col min="6403" max="6403" width="5" style="30" customWidth="1"/>
    <col min="6404" max="6404" width="16.5703125" style="30" customWidth="1"/>
    <col min="6405" max="6405" width="1.5" style="30" customWidth="1"/>
    <col min="6406" max="6406" width="8.85546875" style="30" customWidth="1"/>
    <col min="6407" max="6407" width="9.0703125" style="30" customWidth="1"/>
    <col min="6408" max="6408" width="4.5703125" style="30" customWidth="1"/>
    <col min="6409" max="6409" width="17.35546875" style="30" customWidth="1"/>
    <col min="6410" max="6410" width="23.2109375" style="30" customWidth="1"/>
    <col min="6411" max="6411" width="1.35546875" style="30" customWidth="1"/>
    <col min="6412" max="6412" width="12.35546875" style="30" customWidth="1"/>
    <col min="6413" max="6413" width="28.0703125" style="30" customWidth="1"/>
    <col min="6414" max="6414" width="1.35546875" style="30" customWidth="1"/>
    <col min="6415" max="6656" width="10.35546875" style="30"/>
    <col min="6657" max="6657" width="7" style="30" customWidth="1"/>
    <col min="6658" max="6658" width="4.0703125" style="30" customWidth="1"/>
    <col min="6659" max="6659" width="5" style="30" customWidth="1"/>
    <col min="6660" max="6660" width="16.5703125" style="30" customWidth="1"/>
    <col min="6661" max="6661" width="1.5" style="30" customWidth="1"/>
    <col min="6662" max="6662" width="8.85546875" style="30" customWidth="1"/>
    <col min="6663" max="6663" width="9.0703125" style="30" customWidth="1"/>
    <col min="6664" max="6664" width="4.5703125" style="30" customWidth="1"/>
    <col min="6665" max="6665" width="17.35546875" style="30" customWidth="1"/>
    <col min="6666" max="6666" width="23.2109375" style="30" customWidth="1"/>
    <col min="6667" max="6667" width="1.35546875" style="30" customWidth="1"/>
    <col min="6668" max="6668" width="12.35546875" style="30" customWidth="1"/>
    <col min="6669" max="6669" width="28.0703125" style="30" customWidth="1"/>
    <col min="6670" max="6670" width="1.35546875" style="30" customWidth="1"/>
    <col min="6671" max="6912" width="10.35546875" style="30"/>
    <col min="6913" max="6913" width="7" style="30" customWidth="1"/>
    <col min="6914" max="6914" width="4.0703125" style="30" customWidth="1"/>
    <col min="6915" max="6915" width="5" style="30" customWidth="1"/>
    <col min="6916" max="6916" width="16.5703125" style="30" customWidth="1"/>
    <col min="6917" max="6917" width="1.5" style="30" customWidth="1"/>
    <col min="6918" max="6918" width="8.85546875" style="30" customWidth="1"/>
    <col min="6919" max="6919" width="9.0703125" style="30" customWidth="1"/>
    <col min="6920" max="6920" width="4.5703125" style="30" customWidth="1"/>
    <col min="6921" max="6921" width="17.35546875" style="30" customWidth="1"/>
    <col min="6922" max="6922" width="23.2109375" style="30" customWidth="1"/>
    <col min="6923" max="6923" width="1.35546875" style="30" customWidth="1"/>
    <col min="6924" max="6924" width="12.35546875" style="30" customWidth="1"/>
    <col min="6925" max="6925" width="28.0703125" style="30" customWidth="1"/>
    <col min="6926" max="6926" width="1.35546875" style="30" customWidth="1"/>
    <col min="6927" max="7168" width="10.35546875" style="30"/>
    <col min="7169" max="7169" width="7" style="30" customWidth="1"/>
    <col min="7170" max="7170" width="4.0703125" style="30" customWidth="1"/>
    <col min="7171" max="7171" width="5" style="30" customWidth="1"/>
    <col min="7172" max="7172" width="16.5703125" style="30" customWidth="1"/>
    <col min="7173" max="7173" width="1.5" style="30" customWidth="1"/>
    <col min="7174" max="7174" width="8.85546875" style="30" customWidth="1"/>
    <col min="7175" max="7175" width="9.0703125" style="30" customWidth="1"/>
    <col min="7176" max="7176" width="4.5703125" style="30" customWidth="1"/>
    <col min="7177" max="7177" width="17.35546875" style="30" customWidth="1"/>
    <col min="7178" max="7178" width="23.2109375" style="30" customWidth="1"/>
    <col min="7179" max="7179" width="1.35546875" style="30" customWidth="1"/>
    <col min="7180" max="7180" width="12.35546875" style="30" customWidth="1"/>
    <col min="7181" max="7181" width="28.0703125" style="30" customWidth="1"/>
    <col min="7182" max="7182" width="1.35546875" style="30" customWidth="1"/>
    <col min="7183" max="7424" width="10.35546875" style="30"/>
    <col min="7425" max="7425" width="7" style="30" customWidth="1"/>
    <col min="7426" max="7426" width="4.0703125" style="30" customWidth="1"/>
    <col min="7427" max="7427" width="5" style="30" customWidth="1"/>
    <col min="7428" max="7428" width="16.5703125" style="30" customWidth="1"/>
    <col min="7429" max="7429" width="1.5" style="30" customWidth="1"/>
    <col min="7430" max="7430" width="8.85546875" style="30" customWidth="1"/>
    <col min="7431" max="7431" width="9.0703125" style="30" customWidth="1"/>
    <col min="7432" max="7432" width="4.5703125" style="30" customWidth="1"/>
    <col min="7433" max="7433" width="17.35546875" style="30" customWidth="1"/>
    <col min="7434" max="7434" width="23.2109375" style="30" customWidth="1"/>
    <col min="7435" max="7435" width="1.35546875" style="30" customWidth="1"/>
    <col min="7436" max="7436" width="12.35546875" style="30" customWidth="1"/>
    <col min="7437" max="7437" width="28.0703125" style="30" customWidth="1"/>
    <col min="7438" max="7438" width="1.35546875" style="30" customWidth="1"/>
    <col min="7439" max="7680" width="10.35546875" style="30"/>
    <col min="7681" max="7681" width="7" style="30" customWidth="1"/>
    <col min="7682" max="7682" width="4.0703125" style="30" customWidth="1"/>
    <col min="7683" max="7683" width="5" style="30" customWidth="1"/>
    <col min="7684" max="7684" width="16.5703125" style="30" customWidth="1"/>
    <col min="7685" max="7685" width="1.5" style="30" customWidth="1"/>
    <col min="7686" max="7686" width="8.85546875" style="30" customWidth="1"/>
    <col min="7687" max="7687" width="9.0703125" style="30" customWidth="1"/>
    <col min="7688" max="7688" width="4.5703125" style="30" customWidth="1"/>
    <col min="7689" max="7689" width="17.35546875" style="30" customWidth="1"/>
    <col min="7690" max="7690" width="23.2109375" style="30" customWidth="1"/>
    <col min="7691" max="7691" width="1.35546875" style="30" customWidth="1"/>
    <col min="7692" max="7692" width="12.35546875" style="30" customWidth="1"/>
    <col min="7693" max="7693" width="28.0703125" style="30" customWidth="1"/>
    <col min="7694" max="7694" width="1.35546875" style="30" customWidth="1"/>
    <col min="7695" max="7936" width="10.35546875" style="30"/>
    <col min="7937" max="7937" width="7" style="30" customWidth="1"/>
    <col min="7938" max="7938" width="4.0703125" style="30" customWidth="1"/>
    <col min="7939" max="7939" width="5" style="30" customWidth="1"/>
    <col min="7940" max="7940" width="16.5703125" style="30" customWidth="1"/>
    <col min="7941" max="7941" width="1.5" style="30" customWidth="1"/>
    <col min="7942" max="7942" width="8.85546875" style="30" customWidth="1"/>
    <col min="7943" max="7943" width="9.0703125" style="30" customWidth="1"/>
    <col min="7944" max="7944" width="4.5703125" style="30" customWidth="1"/>
    <col min="7945" max="7945" width="17.35546875" style="30" customWidth="1"/>
    <col min="7946" max="7946" width="23.2109375" style="30" customWidth="1"/>
    <col min="7947" max="7947" width="1.35546875" style="30" customWidth="1"/>
    <col min="7948" max="7948" width="12.35546875" style="30" customWidth="1"/>
    <col min="7949" max="7949" width="28.0703125" style="30" customWidth="1"/>
    <col min="7950" max="7950" width="1.35546875" style="30" customWidth="1"/>
    <col min="7951" max="8192" width="10.35546875" style="30"/>
    <col min="8193" max="8193" width="7" style="30" customWidth="1"/>
    <col min="8194" max="8194" width="4.0703125" style="30" customWidth="1"/>
    <col min="8195" max="8195" width="5" style="30" customWidth="1"/>
    <col min="8196" max="8196" width="16.5703125" style="30" customWidth="1"/>
    <col min="8197" max="8197" width="1.5" style="30" customWidth="1"/>
    <col min="8198" max="8198" width="8.85546875" style="30" customWidth="1"/>
    <col min="8199" max="8199" width="9.0703125" style="30" customWidth="1"/>
    <col min="8200" max="8200" width="4.5703125" style="30" customWidth="1"/>
    <col min="8201" max="8201" width="17.35546875" style="30" customWidth="1"/>
    <col min="8202" max="8202" width="23.2109375" style="30" customWidth="1"/>
    <col min="8203" max="8203" width="1.35546875" style="30" customWidth="1"/>
    <col min="8204" max="8204" width="12.35546875" style="30" customWidth="1"/>
    <col min="8205" max="8205" width="28.0703125" style="30" customWidth="1"/>
    <col min="8206" max="8206" width="1.35546875" style="30" customWidth="1"/>
    <col min="8207" max="8448" width="10.35546875" style="30"/>
    <col min="8449" max="8449" width="7" style="30" customWidth="1"/>
    <col min="8450" max="8450" width="4.0703125" style="30" customWidth="1"/>
    <col min="8451" max="8451" width="5" style="30" customWidth="1"/>
    <col min="8452" max="8452" width="16.5703125" style="30" customWidth="1"/>
    <col min="8453" max="8453" width="1.5" style="30" customWidth="1"/>
    <col min="8454" max="8454" width="8.85546875" style="30" customWidth="1"/>
    <col min="8455" max="8455" width="9.0703125" style="30" customWidth="1"/>
    <col min="8456" max="8456" width="4.5703125" style="30" customWidth="1"/>
    <col min="8457" max="8457" width="17.35546875" style="30" customWidth="1"/>
    <col min="8458" max="8458" width="23.2109375" style="30" customWidth="1"/>
    <col min="8459" max="8459" width="1.35546875" style="30" customWidth="1"/>
    <col min="8460" max="8460" width="12.35546875" style="30" customWidth="1"/>
    <col min="8461" max="8461" width="28.0703125" style="30" customWidth="1"/>
    <col min="8462" max="8462" width="1.35546875" style="30" customWidth="1"/>
    <col min="8463" max="8704" width="10.35546875" style="30"/>
    <col min="8705" max="8705" width="7" style="30" customWidth="1"/>
    <col min="8706" max="8706" width="4.0703125" style="30" customWidth="1"/>
    <col min="8707" max="8707" width="5" style="30" customWidth="1"/>
    <col min="8708" max="8708" width="16.5703125" style="30" customWidth="1"/>
    <col min="8709" max="8709" width="1.5" style="30" customWidth="1"/>
    <col min="8710" max="8710" width="8.85546875" style="30" customWidth="1"/>
    <col min="8711" max="8711" width="9.0703125" style="30" customWidth="1"/>
    <col min="8712" max="8712" width="4.5703125" style="30" customWidth="1"/>
    <col min="8713" max="8713" width="17.35546875" style="30" customWidth="1"/>
    <col min="8714" max="8714" width="23.2109375" style="30" customWidth="1"/>
    <col min="8715" max="8715" width="1.35546875" style="30" customWidth="1"/>
    <col min="8716" max="8716" width="12.35546875" style="30" customWidth="1"/>
    <col min="8717" max="8717" width="28.0703125" style="30" customWidth="1"/>
    <col min="8718" max="8718" width="1.35546875" style="30" customWidth="1"/>
    <col min="8719" max="8960" width="10.35546875" style="30"/>
    <col min="8961" max="8961" width="7" style="30" customWidth="1"/>
    <col min="8962" max="8962" width="4.0703125" style="30" customWidth="1"/>
    <col min="8963" max="8963" width="5" style="30" customWidth="1"/>
    <col min="8964" max="8964" width="16.5703125" style="30" customWidth="1"/>
    <col min="8965" max="8965" width="1.5" style="30" customWidth="1"/>
    <col min="8966" max="8966" width="8.85546875" style="30" customWidth="1"/>
    <col min="8967" max="8967" width="9.0703125" style="30" customWidth="1"/>
    <col min="8968" max="8968" width="4.5703125" style="30" customWidth="1"/>
    <col min="8969" max="8969" width="17.35546875" style="30" customWidth="1"/>
    <col min="8970" max="8970" width="23.2109375" style="30" customWidth="1"/>
    <col min="8971" max="8971" width="1.35546875" style="30" customWidth="1"/>
    <col min="8972" max="8972" width="12.35546875" style="30" customWidth="1"/>
    <col min="8973" max="8973" width="28.0703125" style="30" customWidth="1"/>
    <col min="8974" max="8974" width="1.35546875" style="30" customWidth="1"/>
    <col min="8975" max="9216" width="10.35546875" style="30"/>
    <col min="9217" max="9217" width="7" style="30" customWidth="1"/>
    <col min="9218" max="9218" width="4.0703125" style="30" customWidth="1"/>
    <col min="9219" max="9219" width="5" style="30" customWidth="1"/>
    <col min="9220" max="9220" width="16.5703125" style="30" customWidth="1"/>
    <col min="9221" max="9221" width="1.5" style="30" customWidth="1"/>
    <col min="9222" max="9222" width="8.85546875" style="30" customWidth="1"/>
    <col min="9223" max="9223" width="9.0703125" style="30" customWidth="1"/>
    <col min="9224" max="9224" width="4.5703125" style="30" customWidth="1"/>
    <col min="9225" max="9225" width="17.35546875" style="30" customWidth="1"/>
    <col min="9226" max="9226" width="23.2109375" style="30" customWidth="1"/>
    <col min="9227" max="9227" width="1.35546875" style="30" customWidth="1"/>
    <col min="9228" max="9228" width="12.35546875" style="30" customWidth="1"/>
    <col min="9229" max="9229" width="28.0703125" style="30" customWidth="1"/>
    <col min="9230" max="9230" width="1.35546875" style="30" customWidth="1"/>
    <col min="9231" max="9472" width="10.35546875" style="30"/>
    <col min="9473" max="9473" width="7" style="30" customWidth="1"/>
    <col min="9474" max="9474" width="4.0703125" style="30" customWidth="1"/>
    <col min="9475" max="9475" width="5" style="30" customWidth="1"/>
    <col min="9476" max="9476" width="16.5703125" style="30" customWidth="1"/>
    <col min="9477" max="9477" width="1.5" style="30" customWidth="1"/>
    <col min="9478" max="9478" width="8.85546875" style="30" customWidth="1"/>
    <col min="9479" max="9479" width="9.0703125" style="30" customWidth="1"/>
    <col min="9480" max="9480" width="4.5703125" style="30" customWidth="1"/>
    <col min="9481" max="9481" width="17.35546875" style="30" customWidth="1"/>
    <col min="9482" max="9482" width="23.2109375" style="30" customWidth="1"/>
    <col min="9483" max="9483" width="1.35546875" style="30" customWidth="1"/>
    <col min="9484" max="9484" width="12.35546875" style="30" customWidth="1"/>
    <col min="9485" max="9485" width="28.0703125" style="30" customWidth="1"/>
    <col min="9486" max="9486" width="1.35546875" style="30" customWidth="1"/>
    <col min="9487" max="9728" width="10.35546875" style="30"/>
    <col min="9729" max="9729" width="7" style="30" customWidth="1"/>
    <col min="9730" max="9730" width="4.0703125" style="30" customWidth="1"/>
    <col min="9731" max="9731" width="5" style="30" customWidth="1"/>
    <col min="9732" max="9732" width="16.5703125" style="30" customWidth="1"/>
    <col min="9733" max="9733" width="1.5" style="30" customWidth="1"/>
    <col min="9734" max="9734" width="8.85546875" style="30" customWidth="1"/>
    <col min="9735" max="9735" width="9.0703125" style="30" customWidth="1"/>
    <col min="9736" max="9736" width="4.5703125" style="30" customWidth="1"/>
    <col min="9737" max="9737" width="17.35546875" style="30" customWidth="1"/>
    <col min="9738" max="9738" width="23.2109375" style="30" customWidth="1"/>
    <col min="9739" max="9739" width="1.35546875" style="30" customWidth="1"/>
    <col min="9740" max="9740" width="12.35546875" style="30" customWidth="1"/>
    <col min="9741" max="9741" width="28.0703125" style="30" customWidth="1"/>
    <col min="9742" max="9742" width="1.35546875" style="30" customWidth="1"/>
    <col min="9743" max="9984" width="10.35546875" style="30"/>
    <col min="9985" max="9985" width="7" style="30" customWidth="1"/>
    <col min="9986" max="9986" width="4.0703125" style="30" customWidth="1"/>
    <col min="9987" max="9987" width="5" style="30" customWidth="1"/>
    <col min="9988" max="9988" width="16.5703125" style="30" customWidth="1"/>
    <col min="9989" max="9989" width="1.5" style="30" customWidth="1"/>
    <col min="9990" max="9990" width="8.85546875" style="30" customWidth="1"/>
    <col min="9991" max="9991" width="9.0703125" style="30" customWidth="1"/>
    <col min="9992" max="9992" width="4.5703125" style="30" customWidth="1"/>
    <col min="9993" max="9993" width="17.35546875" style="30" customWidth="1"/>
    <col min="9994" max="9994" width="23.2109375" style="30" customWidth="1"/>
    <col min="9995" max="9995" width="1.35546875" style="30" customWidth="1"/>
    <col min="9996" max="9996" width="12.35546875" style="30" customWidth="1"/>
    <col min="9997" max="9997" width="28.0703125" style="30" customWidth="1"/>
    <col min="9998" max="9998" width="1.35546875" style="30" customWidth="1"/>
    <col min="9999" max="10240" width="10.35546875" style="30"/>
    <col min="10241" max="10241" width="7" style="30" customWidth="1"/>
    <col min="10242" max="10242" width="4.0703125" style="30" customWidth="1"/>
    <col min="10243" max="10243" width="5" style="30" customWidth="1"/>
    <col min="10244" max="10244" width="16.5703125" style="30" customWidth="1"/>
    <col min="10245" max="10245" width="1.5" style="30" customWidth="1"/>
    <col min="10246" max="10246" width="8.85546875" style="30" customWidth="1"/>
    <col min="10247" max="10247" width="9.0703125" style="30" customWidth="1"/>
    <col min="10248" max="10248" width="4.5703125" style="30" customWidth="1"/>
    <col min="10249" max="10249" width="17.35546875" style="30" customWidth="1"/>
    <col min="10250" max="10250" width="23.2109375" style="30" customWidth="1"/>
    <col min="10251" max="10251" width="1.35546875" style="30" customWidth="1"/>
    <col min="10252" max="10252" width="12.35546875" style="30" customWidth="1"/>
    <col min="10253" max="10253" width="28.0703125" style="30" customWidth="1"/>
    <col min="10254" max="10254" width="1.35546875" style="30" customWidth="1"/>
    <col min="10255" max="10496" width="10.35546875" style="30"/>
    <col min="10497" max="10497" width="7" style="30" customWidth="1"/>
    <col min="10498" max="10498" width="4.0703125" style="30" customWidth="1"/>
    <col min="10499" max="10499" width="5" style="30" customWidth="1"/>
    <col min="10500" max="10500" width="16.5703125" style="30" customWidth="1"/>
    <col min="10501" max="10501" width="1.5" style="30" customWidth="1"/>
    <col min="10502" max="10502" width="8.85546875" style="30" customWidth="1"/>
    <col min="10503" max="10503" width="9.0703125" style="30" customWidth="1"/>
    <col min="10504" max="10504" width="4.5703125" style="30" customWidth="1"/>
    <col min="10505" max="10505" width="17.35546875" style="30" customWidth="1"/>
    <col min="10506" max="10506" width="23.2109375" style="30" customWidth="1"/>
    <col min="10507" max="10507" width="1.35546875" style="30" customWidth="1"/>
    <col min="10508" max="10508" width="12.35546875" style="30" customWidth="1"/>
    <col min="10509" max="10509" width="28.0703125" style="30" customWidth="1"/>
    <col min="10510" max="10510" width="1.35546875" style="30" customWidth="1"/>
    <col min="10511" max="10752" width="10.35546875" style="30"/>
    <col min="10753" max="10753" width="7" style="30" customWidth="1"/>
    <col min="10754" max="10754" width="4.0703125" style="30" customWidth="1"/>
    <col min="10755" max="10755" width="5" style="30" customWidth="1"/>
    <col min="10756" max="10756" width="16.5703125" style="30" customWidth="1"/>
    <col min="10757" max="10757" width="1.5" style="30" customWidth="1"/>
    <col min="10758" max="10758" width="8.85546875" style="30" customWidth="1"/>
    <col min="10759" max="10759" width="9.0703125" style="30" customWidth="1"/>
    <col min="10760" max="10760" width="4.5703125" style="30" customWidth="1"/>
    <col min="10761" max="10761" width="17.35546875" style="30" customWidth="1"/>
    <col min="10762" max="10762" width="23.2109375" style="30" customWidth="1"/>
    <col min="10763" max="10763" width="1.35546875" style="30" customWidth="1"/>
    <col min="10764" max="10764" width="12.35546875" style="30" customWidth="1"/>
    <col min="10765" max="10765" width="28.0703125" style="30" customWidth="1"/>
    <col min="10766" max="10766" width="1.35546875" style="30" customWidth="1"/>
    <col min="10767" max="11008" width="10.35546875" style="30"/>
    <col min="11009" max="11009" width="7" style="30" customWidth="1"/>
    <col min="11010" max="11010" width="4.0703125" style="30" customWidth="1"/>
    <col min="11011" max="11011" width="5" style="30" customWidth="1"/>
    <col min="11012" max="11012" width="16.5703125" style="30" customWidth="1"/>
    <col min="11013" max="11013" width="1.5" style="30" customWidth="1"/>
    <col min="11014" max="11014" width="8.85546875" style="30" customWidth="1"/>
    <col min="11015" max="11015" width="9.0703125" style="30" customWidth="1"/>
    <col min="11016" max="11016" width="4.5703125" style="30" customWidth="1"/>
    <col min="11017" max="11017" width="17.35546875" style="30" customWidth="1"/>
    <col min="11018" max="11018" width="23.2109375" style="30" customWidth="1"/>
    <col min="11019" max="11019" width="1.35546875" style="30" customWidth="1"/>
    <col min="11020" max="11020" width="12.35546875" style="30" customWidth="1"/>
    <col min="11021" max="11021" width="28.0703125" style="30" customWidth="1"/>
    <col min="11022" max="11022" width="1.35546875" style="30" customWidth="1"/>
    <col min="11023" max="11264" width="10.35546875" style="30"/>
    <col min="11265" max="11265" width="7" style="30" customWidth="1"/>
    <col min="11266" max="11266" width="4.0703125" style="30" customWidth="1"/>
    <col min="11267" max="11267" width="5" style="30" customWidth="1"/>
    <col min="11268" max="11268" width="16.5703125" style="30" customWidth="1"/>
    <col min="11269" max="11269" width="1.5" style="30" customWidth="1"/>
    <col min="11270" max="11270" width="8.85546875" style="30" customWidth="1"/>
    <col min="11271" max="11271" width="9.0703125" style="30" customWidth="1"/>
    <col min="11272" max="11272" width="4.5703125" style="30" customWidth="1"/>
    <col min="11273" max="11273" width="17.35546875" style="30" customWidth="1"/>
    <col min="11274" max="11274" width="23.2109375" style="30" customWidth="1"/>
    <col min="11275" max="11275" width="1.35546875" style="30" customWidth="1"/>
    <col min="11276" max="11276" width="12.35546875" style="30" customWidth="1"/>
    <col min="11277" max="11277" width="28.0703125" style="30" customWidth="1"/>
    <col min="11278" max="11278" width="1.35546875" style="30" customWidth="1"/>
    <col min="11279" max="11520" width="10.35546875" style="30"/>
    <col min="11521" max="11521" width="7" style="30" customWidth="1"/>
    <col min="11522" max="11522" width="4.0703125" style="30" customWidth="1"/>
    <col min="11523" max="11523" width="5" style="30" customWidth="1"/>
    <col min="11524" max="11524" width="16.5703125" style="30" customWidth="1"/>
    <col min="11525" max="11525" width="1.5" style="30" customWidth="1"/>
    <col min="11526" max="11526" width="8.85546875" style="30" customWidth="1"/>
    <col min="11527" max="11527" width="9.0703125" style="30" customWidth="1"/>
    <col min="11528" max="11528" width="4.5703125" style="30" customWidth="1"/>
    <col min="11529" max="11529" width="17.35546875" style="30" customWidth="1"/>
    <col min="11530" max="11530" width="23.2109375" style="30" customWidth="1"/>
    <col min="11531" max="11531" width="1.35546875" style="30" customWidth="1"/>
    <col min="11532" max="11532" width="12.35546875" style="30" customWidth="1"/>
    <col min="11533" max="11533" width="28.0703125" style="30" customWidth="1"/>
    <col min="11534" max="11534" width="1.35546875" style="30" customWidth="1"/>
    <col min="11535" max="11776" width="10.35546875" style="30"/>
    <col min="11777" max="11777" width="7" style="30" customWidth="1"/>
    <col min="11778" max="11778" width="4.0703125" style="30" customWidth="1"/>
    <col min="11779" max="11779" width="5" style="30" customWidth="1"/>
    <col min="11780" max="11780" width="16.5703125" style="30" customWidth="1"/>
    <col min="11781" max="11781" width="1.5" style="30" customWidth="1"/>
    <col min="11782" max="11782" width="8.85546875" style="30" customWidth="1"/>
    <col min="11783" max="11783" width="9.0703125" style="30" customWidth="1"/>
    <col min="11784" max="11784" width="4.5703125" style="30" customWidth="1"/>
    <col min="11785" max="11785" width="17.35546875" style="30" customWidth="1"/>
    <col min="11786" max="11786" width="23.2109375" style="30" customWidth="1"/>
    <col min="11787" max="11787" width="1.35546875" style="30" customWidth="1"/>
    <col min="11788" max="11788" width="12.35546875" style="30" customWidth="1"/>
    <col min="11789" max="11789" width="28.0703125" style="30" customWidth="1"/>
    <col min="11790" max="11790" width="1.35546875" style="30" customWidth="1"/>
    <col min="11791" max="12032" width="10.35546875" style="30"/>
    <col min="12033" max="12033" width="7" style="30" customWidth="1"/>
    <col min="12034" max="12034" width="4.0703125" style="30" customWidth="1"/>
    <col min="12035" max="12035" width="5" style="30" customWidth="1"/>
    <col min="12036" max="12036" width="16.5703125" style="30" customWidth="1"/>
    <col min="12037" max="12037" width="1.5" style="30" customWidth="1"/>
    <col min="12038" max="12038" width="8.85546875" style="30" customWidth="1"/>
    <col min="12039" max="12039" width="9.0703125" style="30" customWidth="1"/>
    <col min="12040" max="12040" width="4.5703125" style="30" customWidth="1"/>
    <col min="12041" max="12041" width="17.35546875" style="30" customWidth="1"/>
    <col min="12042" max="12042" width="23.2109375" style="30" customWidth="1"/>
    <col min="12043" max="12043" width="1.35546875" style="30" customWidth="1"/>
    <col min="12044" max="12044" width="12.35546875" style="30" customWidth="1"/>
    <col min="12045" max="12045" width="28.0703125" style="30" customWidth="1"/>
    <col min="12046" max="12046" width="1.35546875" style="30" customWidth="1"/>
    <col min="12047" max="12288" width="10.35546875" style="30"/>
    <col min="12289" max="12289" width="7" style="30" customWidth="1"/>
    <col min="12290" max="12290" width="4.0703125" style="30" customWidth="1"/>
    <col min="12291" max="12291" width="5" style="30" customWidth="1"/>
    <col min="12292" max="12292" width="16.5703125" style="30" customWidth="1"/>
    <col min="12293" max="12293" width="1.5" style="30" customWidth="1"/>
    <col min="12294" max="12294" width="8.85546875" style="30" customWidth="1"/>
    <col min="12295" max="12295" width="9.0703125" style="30" customWidth="1"/>
    <col min="12296" max="12296" width="4.5703125" style="30" customWidth="1"/>
    <col min="12297" max="12297" width="17.35546875" style="30" customWidth="1"/>
    <col min="12298" max="12298" width="23.2109375" style="30" customWidth="1"/>
    <col min="12299" max="12299" width="1.35546875" style="30" customWidth="1"/>
    <col min="12300" max="12300" width="12.35546875" style="30" customWidth="1"/>
    <col min="12301" max="12301" width="28.0703125" style="30" customWidth="1"/>
    <col min="12302" max="12302" width="1.35546875" style="30" customWidth="1"/>
    <col min="12303" max="12544" width="10.35546875" style="30"/>
    <col min="12545" max="12545" width="7" style="30" customWidth="1"/>
    <col min="12546" max="12546" width="4.0703125" style="30" customWidth="1"/>
    <col min="12547" max="12547" width="5" style="30" customWidth="1"/>
    <col min="12548" max="12548" width="16.5703125" style="30" customWidth="1"/>
    <col min="12549" max="12549" width="1.5" style="30" customWidth="1"/>
    <col min="12550" max="12550" width="8.85546875" style="30" customWidth="1"/>
    <col min="12551" max="12551" width="9.0703125" style="30" customWidth="1"/>
    <col min="12552" max="12552" width="4.5703125" style="30" customWidth="1"/>
    <col min="12553" max="12553" width="17.35546875" style="30" customWidth="1"/>
    <col min="12554" max="12554" width="23.2109375" style="30" customWidth="1"/>
    <col min="12555" max="12555" width="1.35546875" style="30" customWidth="1"/>
    <col min="12556" max="12556" width="12.35546875" style="30" customWidth="1"/>
    <col min="12557" max="12557" width="28.0703125" style="30" customWidth="1"/>
    <col min="12558" max="12558" width="1.35546875" style="30" customWidth="1"/>
    <col min="12559" max="12800" width="10.35546875" style="30"/>
    <col min="12801" max="12801" width="7" style="30" customWidth="1"/>
    <col min="12802" max="12802" width="4.0703125" style="30" customWidth="1"/>
    <col min="12803" max="12803" width="5" style="30" customWidth="1"/>
    <col min="12804" max="12804" width="16.5703125" style="30" customWidth="1"/>
    <col min="12805" max="12805" width="1.5" style="30" customWidth="1"/>
    <col min="12806" max="12806" width="8.85546875" style="30" customWidth="1"/>
    <col min="12807" max="12807" width="9.0703125" style="30" customWidth="1"/>
    <col min="12808" max="12808" width="4.5703125" style="30" customWidth="1"/>
    <col min="12809" max="12809" width="17.35546875" style="30" customWidth="1"/>
    <col min="12810" max="12810" width="23.2109375" style="30" customWidth="1"/>
    <col min="12811" max="12811" width="1.35546875" style="30" customWidth="1"/>
    <col min="12812" max="12812" width="12.35546875" style="30" customWidth="1"/>
    <col min="12813" max="12813" width="28.0703125" style="30" customWidth="1"/>
    <col min="12814" max="12814" width="1.35546875" style="30" customWidth="1"/>
    <col min="12815" max="13056" width="10.35546875" style="30"/>
    <col min="13057" max="13057" width="7" style="30" customWidth="1"/>
    <col min="13058" max="13058" width="4.0703125" style="30" customWidth="1"/>
    <col min="13059" max="13059" width="5" style="30" customWidth="1"/>
    <col min="13060" max="13060" width="16.5703125" style="30" customWidth="1"/>
    <col min="13061" max="13061" width="1.5" style="30" customWidth="1"/>
    <col min="13062" max="13062" width="8.85546875" style="30" customWidth="1"/>
    <col min="13063" max="13063" width="9.0703125" style="30" customWidth="1"/>
    <col min="13064" max="13064" width="4.5703125" style="30" customWidth="1"/>
    <col min="13065" max="13065" width="17.35546875" style="30" customWidth="1"/>
    <col min="13066" max="13066" width="23.2109375" style="30" customWidth="1"/>
    <col min="13067" max="13067" width="1.35546875" style="30" customWidth="1"/>
    <col min="13068" max="13068" width="12.35546875" style="30" customWidth="1"/>
    <col min="13069" max="13069" width="28.0703125" style="30" customWidth="1"/>
    <col min="13070" max="13070" width="1.35546875" style="30" customWidth="1"/>
    <col min="13071" max="13312" width="10.35546875" style="30"/>
    <col min="13313" max="13313" width="7" style="30" customWidth="1"/>
    <col min="13314" max="13314" width="4.0703125" style="30" customWidth="1"/>
    <col min="13315" max="13315" width="5" style="30" customWidth="1"/>
    <col min="13316" max="13316" width="16.5703125" style="30" customWidth="1"/>
    <col min="13317" max="13317" width="1.5" style="30" customWidth="1"/>
    <col min="13318" max="13318" width="8.85546875" style="30" customWidth="1"/>
    <col min="13319" max="13319" width="9.0703125" style="30" customWidth="1"/>
    <col min="13320" max="13320" width="4.5703125" style="30" customWidth="1"/>
    <col min="13321" max="13321" width="17.35546875" style="30" customWidth="1"/>
    <col min="13322" max="13322" width="23.2109375" style="30" customWidth="1"/>
    <col min="13323" max="13323" width="1.35546875" style="30" customWidth="1"/>
    <col min="13324" max="13324" width="12.35546875" style="30" customWidth="1"/>
    <col min="13325" max="13325" width="28.0703125" style="30" customWidth="1"/>
    <col min="13326" max="13326" width="1.35546875" style="30" customWidth="1"/>
    <col min="13327" max="13568" width="10.35546875" style="30"/>
    <col min="13569" max="13569" width="7" style="30" customWidth="1"/>
    <col min="13570" max="13570" width="4.0703125" style="30" customWidth="1"/>
    <col min="13571" max="13571" width="5" style="30" customWidth="1"/>
    <col min="13572" max="13572" width="16.5703125" style="30" customWidth="1"/>
    <col min="13573" max="13573" width="1.5" style="30" customWidth="1"/>
    <col min="13574" max="13574" width="8.85546875" style="30" customWidth="1"/>
    <col min="13575" max="13575" width="9.0703125" style="30" customWidth="1"/>
    <col min="13576" max="13576" width="4.5703125" style="30" customWidth="1"/>
    <col min="13577" max="13577" width="17.35546875" style="30" customWidth="1"/>
    <col min="13578" max="13578" width="23.2109375" style="30" customWidth="1"/>
    <col min="13579" max="13579" width="1.35546875" style="30" customWidth="1"/>
    <col min="13580" max="13580" width="12.35546875" style="30" customWidth="1"/>
    <col min="13581" max="13581" width="28.0703125" style="30" customWidth="1"/>
    <col min="13582" max="13582" width="1.35546875" style="30" customWidth="1"/>
    <col min="13583" max="13824" width="10.35546875" style="30"/>
    <col min="13825" max="13825" width="7" style="30" customWidth="1"/>
    <col min="13826" max="13826" width="4.0703125" style="30" customWidth="1"/>
    <col min="13827" max="13827" width="5" style="30" customWidth="1"/>
    <col min="13828" max="13828" width="16.5703125" style="30" customWidth="1"/>
    <col min="13829" max="13829" width="1.5" style="30" customWidth="1"/>
    <col min="13830" max="13830" width="8.85546875" style="30" customWidth="1"/>
    <col min="13831" max="13831" width="9.0703125" style="30" customWidth="1"/>
    <col min="13832" max="13832" width="4.5703125" style="30" customWidth="1"/>
    <col min="13833" max="13833" width="17.35546875" style="30" customWidth="1"/>
    <col min="13834" max="13834" width="23.2109375" style="30" customWidth="1"/>
    <col min="13835" max="13835" width="1.35546875" style="30" customWidth="1"/>
    <col min="13836" max="13836" width="12.35546875" style="30" customWidth="1"/>
    <col min="13837" max="13837" width="28.0703125" style="30" customWidth="1"/>
    <col min="13838" max="13838" width="1.35546875" style="30" customWidth="1"/>
    <col min="13839" max="14080" width="10.35546875" style="30"/>
    <col min="14081" max="14081" width="7" style="30" customWidth="1"/>
    <col min="14082" max="14082" width="4.0703125" style="30" customWidth="1"/>
    <col min="14083" max="14083" width="5" style="30" customWidth="1"/>
    <col min="14084" max="14084" width="16.5703125" style="30" customWidth="1"/>
    <col min="14085" max="14085" width="1.5" style="30" customWidth="1"/>
    <col min="14086" max="14086" width="8.85546875" style="30" customWidth="1"/>
    <col min="14087" max="14087" width="9.0703125" style="30" customWidth="1"/>
    <col min="14088" max="14088" width="4.5703125" style="30" customWidth="1"/>
    <col min="14089" max="14089" width="17.35546875" style="30" customWidth="1"/>
    <col min="14090" max="14090" width="23.2109375" style="30" customWidth="1"/>
    <col min="14091" max="14091" width="1.35546875" style="30" customWidth="1"/>
    <col min="14092" max="14092" width="12.35546875" style="30" customWidth="1"/>
    <col min="14093" max="14093" width="28.0703125" style="30" customWidth="1"/>
    <col min="14094" max="14094" width="1.35546875" style="30" customWidth="1"/>
    <col min="14095" max="14336" width="10.35546875" style="30"/>
    <col min="14337" max="14337" width="7" style="30" customWidth="1"/>
    <col min="14338" max="14338" width="4.0703125" style="30" customWidth="1"/>
    <col min="14339" max="14339" width="5" style="30" customWidth="1"/>
    <col min="14340" max="14340" width="16.5703125" style="30" customWidth="1"/>
    <col min="14341" max="14341" width="1.5" style="30" customWidth="1"/>
    <col min="14342" max="14342" width="8.85546875" style="30" customWidth="1"/>
    <col min="14343" max="14343" width="9.0703125" style="30" customWidth="1"/>
    <col min="14344" max="14344" width="4.5703125" style="30" customWidth="1"/>
    <col min="14345" max="14345" width="17.35546875" style="30" customWidth="1"/>
    <col min="14346" max="14346" width="23.2109375" style="30" customWidth="1"/>
    <col min="14347" max="14347" width="1.35546875" style="30" customWidth="1"/>
    <col min="14348" max="14348" width="12.35546875" style="30" customWidth="1"/>
    <col min="14349" max="14349" width="28.0703125" style="30" customWidth="1"/>
    <col min="14350" max="14350" width="1.35546875" style="30" customWidth="1"/>
    <col min="14351" max="14592" width="10.35546875" style="30"/>
    <col min="14593" max="14593" width="7" style="30" customWidth="1"/>
    <col min="14594" max="14594" width="4.0703125" style="30" customWidth="1"/>
    <col min="14595" max="14595" width="5" style="30" customWidth="1"/>
    <col min="14596" max="14596" width="16.5703125" style="30" customWidth="1"/>
    <col min="14597" max="14597" width="1.5" style="30" customWidth="1"/>
    <col min="14598" max="14598" width="8.85546875" style="30" customWidth="1"/>
    <col min="14599" max="14599" width="9.0703125" style="30" customWidth="1"/>
    <col min="14600" max="14600" width="4.5703125" style="30" customWidth="1"/>
    <col min="14601" max="14601" width="17.35546875" style="30" customWidth="1"/>
    <col min="14602" max="14602" width="23.2109375" style="30" customWidth="1"/>
    <col min="14603" max="14603" width="1.35546875" style="30" customWidth="1"/>
    <col min="14604" max="14604" width="12.35546875" style="30" customWidth="1"/>
    <col min="14605" max="14605" width="28.0703125" style="30" customWidth="1"/>
    <col min="14606" max="14606" width="1.35546875" style="30" customWidth="1"/>
    <col min="14607" max="14848" width="10.35546875" style="30"/>
    <col min="14849" max="14849" width="7" style="30" customWidth="1"/>
    <col min="14850" max="14850" width="4.0703125" style="30" customWidth="1"/>
    <col min="14851" max="14851" width="5" style="30" customWidth="1"/>
    <col min="14852" max="14852" width="16.5703125" style="30" customWidth="1"/>
    <col min="14853" max="14853" width="1.5" style="30" customWidth="1"/>
    <col min="14854" max="14854" width="8.85546875" style="30" customWidth="1"/>
    <col min="14855" max="14855" width="9.0703125" style="30" customWidth="1"/>
    <col min="14856" max="14856" width="4.5703125" style="30" customWidth="1"/>
    <col min="14857" max="14857" width="17.35546875" style="30" customWidth="1"/>
    <col min="14858" max="14858" width="23.2109375" style="30" customWidth="1"/>
    <col min="14859" max="14859" width="1.35546875" style="30" customWidth="1"/>
    <col min="14860" max="14860" width="12.35546875" style="30" customWidth="1"/>
    <col min="14861" max="14861" width="28.0703125" style="30" customWidth="1"/>
    <col min="14862" max="14862" width="1.35546875" style="30" customWidth="1"/>
    <col min="14863" max="15104" width="10.35546875" style="30"/>
    <col min="15105" max="15105" width="7" style="30" customWidth="1"/>
    <col min="15106" max="15106" width="4.0703125" style="30" customWidth="1"/>
    <col min="15107" max="15107" width="5" style="30" customWidth="1"/>
    <col min="15108" max="15108" width="16.5703125" style="30" customWidth="1"/>
    <col min="15109" max="15109" width="1.5" style="30" customWidth="1"/>
    <col min="15110" max="15110" width="8.85546875" style="30" customWidth="1"/>
    <col min="15111" max="15111" width="9.0703125" style="30" customWidth="1"/>
    <col min="15112" max="15112" width="4.5703125" style="30" customWidth="1"/>
    <col min="15113" max="15113" width="17.35546875" style="30" customWidth="1"/>
    <col min="15114" max="15114" width="23.2109375" style="30" customWidth="1"/>
    <col min="15115" max="15115" width="1.35546875" style="30" customWidth="1"/>
    <col min="15116" max="15116" width="12.35546875" style="30" customWidth="1"/>
    <col min="15117" max="15117" width="28.0703125" style="30" customWidth="1"/>
    <col min="15118" max="15118" width="1.35546875" style="30" customWidth="1"/>
    <col min="15119" max="15360" width="10.35546875" style="30"/>
    <col min="15361" max="15361" width="7" style="30" customWidth="1"/>
    <col min="15362" max="15362" width="4.0703125" style="30" customWidth="1"/>
    <col min="15363" max="15363" width="5" style="30" customWidth="1"/>
    <col min="15364" max="15364" width="16.5703125" style="30" customWidth="1"/>
    <col min="15365" max="15365" width="1.5" style="30" customWidth="1"/>
    <col min="15366" max="15366" width="8.85546875" style="30" customWidth="1"/>
    <col min="15367" max="15367" width="9.0703125" style="30" customWidth="1"/>
    <col min="15368" max="15368" width="4.5703125" style="30" customWidth="1"/>
    <col min="15369" max="15369" width="17.35546875" style="30" customWidth="1"/>
    <col min="15370" max="15370" width="23.2109375" style="30" customWidth="1"/>
    <col min="15371" max="15371" width="1.35546875" style="30" customWidth="1"/>
    <col min="15372" max="15372" width="12.35546875" style="30" customWidth="1"/>
    <col min="15373" max="15373" width="28.0703125" style="30" customWidth="1"/>
    <col min="15374" max="15374" width="1.35546875" style="30" customWidth="1"/>
    <col min="15375" max="15616" width="10.35546875" style="30"/>
    <col min="15617" max="15617" width="7" style="30" customWidth="1"/>
    <col min="15618" max="15618" width="4.0703125" style="30" customWidth="1"/>
    <col min="15619" max="15619" width="5" style="30" customWidth="1"/>
    <col min="15620" max="15620" width="16.5703125" style="30" customWidth="1"/>
    <col min="15621" max="15621" width="1.5" style="30" customWidth="1"/>
    <col min="15622" max="15622" width="8.85546875" style="30" customWidth="1"/>
    <col min="15623" max="15623" width="9.0703125" style="30" customWidth="1"/>
    <col min="15624" max="15624" width="4.5703125" style="30" customWidth="1"/>
    <col min="15625" max="15625" width="17.35546875" style="30" customWidth="1"/>
    <col min="15626" max="15626" width="23.2109375" style="30" customWidth="1"/>
    <col min="15627" max="15627" width="1.35546875" style="30" customWidth="1"/>
    <col min="15628" max="15628" width="12.35546875" style="30" customWidth="1"/>
    <col min="15629" max="15629" width="28.0703125" style="30" customWidth="1"/>
    <col min="15630" max="15630" width="1.35546875" style="30" customWidth="1"/>
    <col min="15631" max="15872" width="10.35546875" style="30"/>
    <col min="15873" max="15873" width="7" style="30" customWidth="1"/>
    <col min="15874" max="15874" width="4.0703125" style="30" customWidth="1"/>
    <col min="15875" max="15875" width="5" style="30" customWidth="1"/>
    <col min="15876" max="15876" width="16.5703125" style="30" customWidth="1"/>
    <col min="15877" max="15877" width="1.5" style="30" customWidth="1"/>
    <col min="15878" max="15878" width="8.85546875" style="30" customWidth="1"/>
    <col min="15879" max="15879" width="9.0703125" style="30" customWidth="1"/>
    <col min="15880" max="15880" width="4.5703125" style="30" customWidth="1"/>
    <col min="15881" max="15881" width="17.35546875" style="30" customWidth="1"/>
    <col min="15882" max="15882" width="23.2109375" style="30" customWidth="1"/>
    <col min="15883" max="15883" width="1.35546875" style="30" customWidth="1"/>
    <col min="15884" max="15884" width="12.35546875" style="30" customWidth="1"/>
    <col min="15885" max="15885" width="28.0703125" style="30" customWidth="1"/>
    <col min="15886" max="15886" width="1.35546875" style="30" customWidth="1"/>
    <col min="15887" max="16128" width="10.35546875" style="30"/>
    <col min="16129" max="16129" width="7" style="30" customWidth="1"/>
    <col min="16130" max="16130" width="4.0703125" style="30" customWidth="1"/>
    <col min="16131" max="16131" width="5" style="30" customWidth="1"/>
    <col min="16132" max="16132" width="16.5703125" style="30" customWidth="1"/>
    <col min="16133" max="16133" width="1.5" style="30" customWidth="1"/>
    <col min="16134" max="16134" width="8.85546875" style="30" customWidth="1"/>
    <col min="16135" max="16135" width="9.0703125" style="30" customWidth="1"/>
    <col min="16136" max="16136" width="4.5703125" style="30" customWidth="1"/>
    <col min="16137" max="16137" width="17.35546875" style="30" customWidth="1"/>
    <col min="16138" max="16138" width="23.2109375" style="30" customWidth="1"/>
    <col min="16139" max="16139" width="1.35546875" style="30" customWidth="1"/>
    <col min="16140" max="16140" width="12.35546875" style="30" customWidth="1"/>
    <col min="16141" max="16141" width="28.0703125" style="30" customWidth="1"/>
    <col min="16142" max="16142" width="1.35546875" style="30" customWidth="1"/>
    <col min="16143" max="16384" width="10.35546875" style="30"/>
  </cols>
  <sheetData>
    <row r="1" spans="1:13" x14ac:dyDescent="0.3">
      <c r="A1" s="30" t="s">
        <v>116</v>
      </c>
      <c r="B1" s="31"/>
      <c r="F1" s="32"/>
      <c r="G1" s="32"/>
      <c r="H1" s="32"/>
      <c r="I1" s="32"/>
      <c r="J1" s="32"/>
      <c r="K1" s="32"/>
      <c r="L1" s="32"/>
      <c r="M1" s="32"/>
    </row>
    <row r="2" spans="1:13" ht="12.75" customHeight="1" x14ac:dyDescent="0.3">
      <c r="A2" s="30" t="str">
        <f>填写区域!B34&amp;" issued by  "</f>
        <v xml:space="preserve">0 issued by  </v>
      </c>
      <c r="B2" s="33"/>
      <c r="C2" s="34"/>
      <c r="D2" s="33"/>
      <c r="E2" s="33"/>
      <c r="F2" s="35" t="str">
        <f>填写区域!B8&amp;","&amp;填写区域!B9</f>
        <v>Schaffhausen,Switzerland</v>
      </c>
      <c r="G2" s="35"/>
      <c r="H2" s="32" t="s">
        <v>117</v>
      </c>
      <c r="I2" s="44" t="str">
        <f>TEXT(填写区域!B28+10,"yyyy/mm/dd")</f>
        <v>1900/01/10</v>
      </c>
      <c r="J2" s="32"/>
      <c r="K2" s="32"/>
      <c r="L2" s="32" t="s">
        <v>118</v>
      </c>
      <c r="M2" s="45" t="str">
        <f>填写区域!F21</f>
        <v>EUR 201,600.00</v>
      </c>
    </row>
    <row r="3" spans="1:13" ht="13" customHeight="1" x14ac:dyDescent="0.3">
      <c r="A3" s="30" t="str">
        <f>填写区域!B43&amp;","&amp;填写区域!B45&amp;" Branch,China"</f>
        <v>, Branch,China</v>
      </c>
      <c r="B3" s="33"/>
      <c r="C3" s="34"/>
      <c r="D3" s="33"/>
      <c r="E3" s="33"/>
      <c r="F3" s="32"/>
      <c r="G3" s="32"/>
      <c r="H3" s="36" t="s">
        <v>213</v>
      </c>
      <c r="I3" s="32"/>
      <c r="J3" s="32"/>
      <c r="K3" s="32"/>
      <c r="L3" s="32"/>
      <c r="M3" s="36" t="s">
        <v>120</v>
      </c>
    </row>
    <row r="4" spans="1:13" x14ac:dyDescent="0.3">
      <c r="A4" s="30" t="str">
        <f>"on "&amp;TEXT(填写区域!B47,"dd.mm.yyyy")</f>
        <v>on 00.01.1900</v>
      </c>
      <c r="B4" s="33"/>
      <c r="C4" s="34"/>
      <c r="D4" s="33"/>
      <c r="E4" s="33"/>
      <c r="F4" s="32"/>
      <c r="G4" s="32"/>
      <c r="H4" s="32"/>
      <c r="I4" s="32"/>
      <c r="J4" s="32"/>
      <c r="K4" s="32"/>
      <c r="L4" s="32"/>
      <c r="M4" s="32"/>
    </row>
    <row r="5" spans="1:13" x14ac:dyDescent="0.3">
      <c r="A5" s="141"/>
      <c r="B5" s="141"/>
      <c r="C5" s="141"/>
      <c r="D5" s="141"/>
      <c r="E5" s="33"/>
      <c r="F5" s="32"/>
      <c r="G5" s="32"/>
      <c r="H5" s="32"/>
      <c r="I5" s="32"/>
      <c r="J5" s="32"/>
      <c r="K5" s="32"/>
      <c r="L5" s="32" t="s">
        <v>121</v>
      </c>
      <c r="M5" s="46" t="str">
        <f>"At 90 Days after B/L date  (I.E. "&amp;TEXT(填写区域!B35,"DD.MM.YYYY")&amp;"）"</f>
        <v>At 90 Days after B/L date  (I.E. 30.03.1900）</v>
      </c>
    </row>
    <row r="6" spans="1:13" x14ac:dyDescent="0.3">
      <c r="A6" s="141"/>
      <c r="B6" s="141"/>
      <c r="C6" s="141"/>
      <c r="D6" s="141"/>
      <c r="E6" s="33"/>
      <c r="F6" s="32"/>
      <c r="G6" s="32"/>
      <c r="H6" s="32"/>
      <c r="I6" s="32"/>
      <c r="J6" s="32"/>
      <c r="K6" s="32"/>
      <c r="L6" s="32"/>
      <c r="M6" s="36" t="s">
        <v>122</v>
      </c>
    </row>
    <row r="7" spans="1:13" ht="6" customHeight="1" x14ac:dyDescent="0.3">
      <c r="A7" s="141"/>
      <c r="B7" s="141"/>
      <c r="C7" s="141"/>
      <c r="D7" s="141"/>
      <c r="E7" s="33"/>
    </row>
    <row r="8" spans="1:13" ht="17.600000000000001" x14ac:dyDescent="0.4">
      <c r="A8" s="141"/>
      <c r="B8" s="141"/>
      <c r="C8" s="141"/>
      <c r="D8" s="141"/>
      <c r="E8" s="33"/>
      <c r="F8" s="32" t="s">
        <v>123</v>
      </c>
      <c r="G8" s="30" t="s">
        <v>124</v>
      </c>
      <c r="H8" s="37" t="s">
        <v>125</v>
      </c>
      <c r="J8" s="32" t="s">
        <v>126</v>
      </c>
      <c r="K8" s="32"/>
      <c r="L8" s="32" t="s">
        <v>127</v>
      </c>
      <c r="M8" s="47" t="s">
        <v>128</v>
      </c>
    </row>
    <row r="9" spans="1:13" ht="6" customHeight="1" x14ac:dyDescent="0.3">
      <c r="A9" s="141"/>
      <c r="B9" s="141"/>
      <c r="C9" s="141"/>
      <c r="D9" s="141"/>
      <c r="E9" s="33"/>
      <c r="J9" s="32"/>
      <c r="K9" s="32"/>
      <c r="L9" s="32"/>
      <c r="M9" s="32"/>
    </row>
    <row r="10" spans="1:13" x14ac:dyDescent="0.3">
      <c r="A10" s="141"/>
      <c r="B10" s="141"/>
      <c r="C10" s="141"/>
      <c r="D10" s="141"/>
      <c r="E10" s="33"/>
      <c r="F10" s="38"/>
      <c r="G10" s="38"/>
      <c r="H10" s="38"/>
      <c r="I10" s="38"/>
      <c r="J10" s="35"/>
      <c r="K10" s="35"/>
      <c r="L10" s="35"/>
      <c r="M10" s="32" t="s">
        <v>129</v>
      </c>
    </row>
    <row r="11" spans="1:13" ht="6" customHeight="1" x14ac:dyDescent="0.3">
      <c r="A11" s="141"/>
      <c r="B11" s="141"/>
      <c r="C11" s="141"/>
      <c r="D11" s="141"/>
      <c r="E11" s="33"/>
      <c r="J11" s="32"/>
      <c r="K11" s="32"/>
      <c r="L11" s="32"/>
      <c r="M11" s="32"/>
    </row>
    <row r="12" spans="1:13" x14ac:dyDescent="0.3">
      <c r="A12" s="141"/>
      <c r="B12" s="141"/>
      <c r="C12" s="141"/>
      <c r="D12" s="141"/>
      <c r="E12" s="33"/>
      <c r="F12" s="39" t="str">
        <f>填写区域!B49&amp;" 00/100"</f>
        <v>0 00/100</v>
      </c>
      <c r="G12" s="39"/>
      <c r="H12" s="39"/>
      <c r="I12" s="39"/>
      <c r="J12" s="39"/>
      <c r="K12" s="39"/>
      <c r="L12" s="39"/>
      <c r="M12" s="39"/>
    </row>
    <row r="13" spans="1:13" x14ac:dyDescent="0.3">
      <c r="A13" s="141"/>
      <c r="B13" s="141"/>
      <c r="C13" s="141"/>
      <c r="D13" s="141"/>
      <c r="E13" s="33"/>
      <c r="F13" s="32"/>
      <c r="G13" s="32"/>
      <c r="H13" s="32"/>
      <c r="I13" s="32"/>
      <c r="J13" s="32" t="s">
        <v>130</v>
      </c>
      <c r="K13" s="32"/>
      <c r="L13" s="32"/>
      <c r="M13" s="32"/>
    </row>
    <row r="14" spans="1:13" ht="6" customHeight="1" x14ac:dyDescent="0.3">
      <c r="A14" s="141"/>
      <c r="B14" s="141"/>
      <c r="C14" s="141"/>
      <c r="D14" s="141"/>
      <c r="E14" s="33"/>
      <c r="F14" s="32"/>
      <c r="G14" s="32"/>
      <c r="H14" s="32"/>
      <c r="I14" s="32"/>
      <c r="J14" s="32"/>
      <c r="K14" s="32"/>
      <c r="L14" s="32"/>
      <c r="M14" s="32"/>
    </row>
    <row r="15" spans="1:13" x14ac:dyDescent="0.3">
      <c r="A15" s="141"/>
      <c r="B15" s="141"/>
      <c r="C15" s="141"/>
      <c r="D15" s="141"/>
      <c r="E15" s="33"/>
      <c r="F15" s="35" t="s">
        <v>101</v>
      </c>
      <c r="G15" s="35">
        <f>填写区域!B44</f>
        <v>0</v>
      </c>
      <c r="H15" s="35"/>
      <c r="I15" s="35"/>
      <c r="J15" s="35"/>
      <c r="K15" s="32"/>
      <c r="L15" s="32"/>
      <c r="M15" s="32"/>
    </row>
    <row r="16" spans="1:13" ht="6" customHeight="1" x14ac:dyDescent="0.3">
      <c r="A16" s="141"/>
      <c r="B16" s="141"/>
      <c r="C16" s="141"/>
      <c r="D16" s="141"/>
      <c r="E16" s="33"/>
      <c r="F16" s="32"/>
      <c r="G16" s="32"/>
      <c r="H16" s="32"/>
      <c r="I16" s="32"/>
      <c r="J16" s="32"/>
      <c r="K16" s="32"/>
      <c r="L16" s="32"/>
      <c r="M16" s="32"/>
    </row>
    <row r="17" spans="1:15" x14ac:dyDescent="0.3">
      <c r="A17" s="141"/>
      <c r="B17" s="141"/>
      <c r="C17" s="141"/>
      <c r="D17" s="141"/>
      <c r="E17" s="33"/>
      <c r="F17" s="35"/>
      <c r="G17" s="35"/>
      <c r="H17" s="35"/>
      <c r="I17" s="35"/>
      <c r="J17" s="35"/>
      <c r="K17" s="32"/>
      <c r="L17" s="32"/>
      <c r="M17" s="32"/>
    </row>
    <row r="18" spans="1:15" ht="6" customHeight="1" x14ac:dyDescent="0.3">
      <c r="A18" s="141"/>
      <c r="B18" s="141"/>
      <c r="C18" s="141"/>
      <c r="D18" s="141"/>
      <c r="E18" s="33"/>
      <c r="F18" s="32"/>
      <c r="G18" s="32"/>
      <c r="H18" s="32"/>
      <c r="I18" s="32"/>
      <c r="J18" s="32"/>
      <c r="K18" s="32"/>
      <c r="L18" s="32"/>
      <c r="M18" s="32"/>
    </row>
    <row r="19" spans="1:15" ht="12.9" x14ac:dyDescent="0.3">
      <c r="A19" s="141"/>
      <c r="B19" s="141"/>
      <c r="C19" s="141"/>
      <c r="D19" s="141"/>
      <c r="E19" s="33"/>
      <c r="F19" s="35" t="s">
        <v>131</v>
      </c>
      <c r="G19" s="35">
        <f>填写区域!B46</f>
        <v>0</v>
      </c>
      <c r="H19" s="35"/>
      <c r="I19" s="35"/>
      <c r="J19" s="35"/>
      <c r="K19" s="32"/>
      <c r="L19" s="32"/>
      <c r="M19" s="32"/>
      <c r="O19" s="48"/>
    </row>
    <row r="20" spans="1:15" ht="5.25" customHeight="1" x14ac:dyDescent="0.3">
      <c r="A20" s="141"/>
      <c r="B20" s="141"/>
      <c r="C20" s="141"/>
      <c r="D20" s="141"/>
      <c r="E20" s="33"/>
      <c r="F20" s="32"/>
      <c r="G20" s="32"/>
      <c r="H20" s="32"/>
      <c r="I20" s="32"/>
      <c r="J20" s="32"/>
      <c r="K20" s="32"/>
      <c r="L20" s="32"/>
      <c r="M20" s="32"/>
    </row>
    <row r="21" spans="1:15" ht="6" customHeight="1" x14ac:dyDescent="0.3">
      <c r="A21" s="141"/>
      <c r="B21" s="141"/>
      <c r="C21" s="141"/>
      <c r="D21" s="141"/>
      <c r="E21" s="40"/>
      <c r="F21" s="41"/>
      <c r="G21" s="41"/>
      <c r="H21" s="41"/>
      <c r="I21" s="41"/>
      <c r="J21" s="41"/>
      <c r="K21" s="49"/>
      <c r="L21" s="32"/>
      <c r="M21" s="32"/>
    </row>
    <row r="22" spans="1:15" x14ac:dyDescent="0.3">
      <c r="A22" s="141"/>
      <c r="B22" s="141"/>
      <c r="C22" s="141"/>
      <c r="D22" s="141"/>
      <c r="E22" s="33"/>
      <c r="F22" s="32" t="s">
        <v>132</v>
      </c>
      <c r="G22" s="35">
        <f>填写区域!B45</f>
        <v>0</v>
      </c>
      <c r="H22" s="35"/>
      <c r="I22" s="35"/>
      <c r="J22" s="35"/>
      <c r="K22" s="50"/>
      <c r="L22" s="32"/>
      <c r="M22" s="32"/>
    </row>
    <row r="23" spans="1:15" ht="12" customHeight="1" x14ac:dyDescent="0.3">
      <c r="A23" s="141"/>
      <c r="B23" s="141"/>
      <c r="C23" s="141"/>
      <c r="D23" s="141"/>
      <c r="E23" s="33"/>
      <c r="F23" s="32"/>
      <c r="G23" s="32"/>
      <c r="H23" s="32"/>
      <c r="I23" s="32" t="s">
        <v>133</v>
      </c>
      <c r="J23" s="32"/>
      <c r="K23" s="50"/>
      <c r="L23" s="32"/>
      <c r="M23" s="32"/>
    </row>
    <row r="24" spans="1:15" x14ac:dyDescent="0.3">
      <c r="A24" s="141"/>
      <c r="B24" s="141"/>
      <c r="C24" s="141"/>
      <c r="D24" s="141"/>
      <c r="E24" s="33"/>
      <c r="F24" s="35"/>
      <c r="G24" s="35"/>
      <c r="H24" s="35"/>
      <c r="I24" s="35"/>
      <c r="J24" s="35"/>
      <c r="K24" s="50"/>
      <c r="L24" s="32"/>
      <c r="M24" s="32" t="str">
        <f>填写区域!B6</f>
        <v>Advanced Ingredients AG</v>
      </c>
    </row>
    <row r="25" spans="1:15" ht="1.4" customHeight="1" x14ac:dyDescent="0.3">
      <c r="A25" s="141"/>
      <c r="B25" s="141"/>
      <c r="C25" s="141"/>
      <c r="D25" s="141"/>
      <c r="E25" s="33"/>
      <c r="F25" s="32"/>
      <c r="G25" s="32"/>
      <c r="H25" s="32"/>
      <c r="I25" s="32"/>
      <c r="J25" s="32"/>
      <c r="K25" s="50"/>
      <c r="L25" s="32"/>
      <c r="M25" s="32"/>
    </row>
    <row r="26" spans="1:15" x14ac:dyDescent="0.3">
      <c r="A26" s="141"/>
      <c r="B26" s="141"/>
      <c r="C26" s="141"/>
      <c r="D26" s="141"/>
      <c r="E26" s="33"/>
      <c r="F26" s="35" t="s">
        <v>134</v>
      </c>
      <c r="G26" s="35"/>
      <c r="H26" s="35"/>
      <c r="I26" s="35"/>
      <c r="J26" s="35"/>
      <c r="K26" s="50"/>
      <c r="L26" s="32"/>
      <c r="M26" s="32" t="str">
        <f>填写区域!B7</f>
        <v>Mühlenstrasse 26, 8200,</v>
      </c>
    </row>
    <row r="27" spans="1:15" x14ac:dyDescent="0.3">
      <c r="A27" s="141"/>
      <c r="B27" s="141"/>
      <c r="C27" s="141"/>
      <c r="D27" s="141"/>
      <c r="E27" s="33"/>
      <c r="F27" s="32"/>
      <c r="G27" s="32" t="s">
        <v>135</v>
      </c>
      <c r="H27" s="32"/>
      <c r="I27" s="32"/>
      <c r="J27" s="32" t="s">
        <v>136</v>
      </c>
      <c r="K27" s="51"/>
      <c r="M27" s="31" t="str">
        <f>填写区域!B8&amp;" "&amp;填写区域!B9</f>
        <v>Schaffhausen Switzerland</v>
      </c>
    </row>
    <row r="28" spans="1:15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5" ht="6.75" customHeight="1" x14ac:dyDescent="0.3"/>
    <row r="30" spans="1:15" x14ac:dyDescent="0.3">
      <c r="A30" s="30" t="str">
        <f>A1</f>
        <v>Drawn under letter of credit no.</v>
      </c>
      <c r="F30" s="32"/>
      <c r="G30" s="32"/>
      <c r="H30" s="32"/>
      <c r="I30" s="32"/>
      <c r="J30" s="32"/>
      <c r="K30" s="32"/>
      <c r="L30" s="32"/>
      <c r="M30" s="32"/>
    </row>
    <row r="31" spans="1:15" x14ac:dyDescent="0.3">
      <c r="A31" s="30" t="str">
        <f t="shared" ref="A31:A33" si="0">A2</f>
        <v xml:space="preserve">0 issued by  </v>
      </c>
      <c r="B31" s="43"/>
      <c r="C31" s="34"/>
      <c r="D31" s="33"/>
      <c r="E31" s="33"/>
      <c r="F31" s="35" t="str">
        <f>F2</f>
        <v>Schaffhausen,Switzerland</v>
      </c>
      <c r="G31" s="35"/>
      <c r="H31" s="32" t="s">
        <v>117</v>
      </c>
      <c r="I31" s="44" t="str">
        <f>I2</f>
        <v>1900/01/10</v>
      </c>
      <c r="J31" s="32"/>
      <c r="K31" s="32"/>
      <c r="L31" s="32" t="s">
        <v>118</v>
      </c>
      <c r="M31" s="52" t="str">
        <f>M2</f>
        <v>EUR 201,600.00</v>
      </c>
    </row>
    <row r="32" spans="1:15" x14ac:dyDescent="0.3">
      <c r="A32" s="30" t="str">
        <f t="shared" si="0"/>
        <v>, Branch,China</v>
      </c>
      <c r="B32" s="43"/>
      <c r="C32" s="34"/>
      <c r="D32" s="33"/>
      <c r="E32" s="33"/>
      <c r="F32" s="32"/>
      <c r="G32" s="32"/>
      <c r="H32" s="36" t="s">
        <v>119</v>
      </c>
      <c r="I32" s="32"/>
      <c r="J32" s="32"/>
      <c r="K32" s="32"/>
      <c r="L32" s="32"/>
      <c r="M32" s="36" t="s">
        <v>120</v>
      </c>
    </row>
    <row r="33" spans="1:13" x14ac:dyDescent="0.3">
      <c r="A33" s="30" t="str">
        <f t="shared" si="0"/>
        <v>on 00.01.1900</v>
      </c>
      <c r="B33" s="33"/>
      <c r="C33" s="34"/>
      <c r="D33" s="33"/>
      <c r="E33" s="33"/>
      <c r="F33" s="32"/>
      <c r="G33" s="32"/>
      <c r="H33" s="32"/>
      <c r="I33" s="32"/>
      <c r="J33" s="32"/>
      <c r="K33" s="32"/>
      <c r="L33" s="32"/>
      <c r="M33" s="32"/>
    </row>
    <row r="34" spans="1:13" x14ac:dyDescent="0.3">
      <c r="A34" s="141"/>
      <c r="B34" s="141"/>
      <c r="C34" s="141"/>
      <c r="D34" s="141"/>
      <c r="E34" s="33"/>
      <c r="F34" s="32"/>
      <c r="G34" s="32"/>
      <c r="H34" s="32"/>
      <c r="I34" s="32"/>
      <c r="J34" s="32"/>
      <c r="K34" s="32"/>
      <c r="L34" s="32" t="s">
        <v>121</v>
      </c>
      <c r="M34" s="46" t="str">
        <f>M5</f>
        <v>At 90 Days after B/L date  (I.E. 30.03.1900）</v>
      </c>
    </row>
    <row r="35" spans="1:13" x14ac:dyDescent="0.3">
      <c r="A35" s="141"/>
      <c r="B35" s="141"/>
      <c r="C35" s="141"/>
      <c r="D35" s="141"/>
      <c r="E35" s="33"/>
      <c r="F35" s="32"/>
      <c r="G35" s="32"/>
      <c r="H35" s="32"/>
      <c r="I35" s="32"/>
      <c r="J35" s="32"/>
      <c r="K35" s="32"/>
      <c r="L35" s="32"/>
      <c r="M35" s="36" t="s">
        <v>122</v>
      </c>
    </row>
    <row r="36" spans="1:13" ht="5.25" customHeight="1" x14ac:dyDescent="0.3">
      <c r="A36" s="141"/>
      <c r="B36" s="141"/>
      <c r="C36" s="141"/>
      <c r="D36" s="141"/>
      <c r="E36" s="33"/>
    </row>
    <row r="37" spans="1:13" ht="17.600000000000001" x14ac:dyDescent="0.4">
      <c r="A37" s="141"/>
      <c r="B37" s="141"/>
      <c r="C37" s="141"/>
      <c r="D37" s="141"/>
      <c r="E37" s="33"/>
      <c r="F37" s="32" t="s">
        <v>123</v>
      </c>
      <c r="G37" s="30" t="s">
        <v>137</v>
      </c>
      <c r="H37" s="37" t="s">
        <v>125</v>
      </c>
      <c r="J37" s="32" t="s">
        <v>138</v>
      </c>
      <c r="K37" s="32"/>
      <c r="L37" s="32" t="s">
        <v>127</v>
      </c>
      <c r="M37" s="47" t="str">
        <f>M8</f>
        <v>ourselves</v>
      </c>
    </row>
    <row r="38" spans="1:13" ht="5.25" customHeight="1" x14ac:dyDescent="0.3">
      <c r="A38" s="141"/>
      <c r="B38" s="141"/>
      <c r="C38" s="141"/>
      <c r="D38" s="141"/>
      <c r="E38" s="33"/>
      <c r="J38" s="32"/>
      <c r="K38" s="32"/>
      <c r="L38" s="32"/>
      <c r="M38" s="32"/>
    </row>
    <row r="39" spans="1:13" x14ac:dyDescent="0.3">
      <c r="A39" s="141"/>
      <c r="B39" s="141"/>
      <c r="C39" s="141"/>
      <c r="D39" s="141"/>
      <c r="E39" s="33"/>
      <c r="F39" s="38"/>
      <c r="G39" s="38"/>
      <c r="H39" s="38"/>
      <c r="I39" s="38"/>
      <c r="J39" s="35"/>
      <c r="K39" s="35"/>
      <c r="L39" s="35"/>
      <c r="M39" s="32" t="s">
        <v>129</v>
      </c>
    </row>
    <row r="40" spans="1:13" ht="5.25" customHeight="1" x14ac:dyDescent="0.3">
      <c r="A40" s="141"/>
      <c r="B40" s="141"/>
      <c r="C40" s="141"/>
      <c r="D40" s="141"/>
      <c r="E40" s="33"/>
      <c r="J40" s="32"/>
      <c r="K40" s="32"/>
      <c r="L40" s="32"/>
      <c r="M40" s="32"/>
    </row>
    <row r="41" spans="1:13" x14ac:dyDescent="0.3">
      <c r="A41" s="141"/>
      <c r="B41" s="141"/>
      <c r="C41" s="141"/>
      <c r="D41" s="141"/>
      <c r="E41" s="33"/>
      <c r="F41" s="39" t="str">
        <f>F12</f>
        <v>0 00/100</v>
      </c>
      <c r="G41" s="39"/>
      <c r="H41" s="39"/>
      <c r="I41" s="39"/>
      <c r="J41" s="39"/>
      <c r="K41" s="39"/>
      <c r="L41" s="39"/>
      <c r="M41" s="39"/>
    </row>
    <row r="42" spans="1:13" x14ac:dyDescent="0.3">
      <c r="A42" s="141"/>
      <c r="B42" s="141"/>
      <c r="C42" s="141"/>
      <c r="D42" s="141"/>
      <c r="E42" s="33"/>
      <c r="F42" s="32"/>
      <c r="G42" s="32"/>
      <c r="H42" s="32"/>
      <c r="I42" s="32"/>
      <c r="J42" s="32" t="s">
        <v>130</v>
      </c>
      <c r="K42" s="32"/>
      <c r="L42" s="32"/>
      <c r="M42" s="32"/>
    </row>
    <row r="43" spans="1:13" ht="5.25" customHeight="1" x14ac:dyDescent="0.3">
      <c r="A43" s="141"/>
      <c r="B43" s="141"/>
      <c r="C43" s="141"/>
      <c r="D43" s="141"/>
      <c r="E43" s="33"/>
      <c r="F43" s="32"/>
      <c r="G43" s="32"/>
      <c r="H43" s="32"/>
      <c r="I43" s="32"/>
      <c r="J43" s="32"/>
      <c r="K43" s="32"/>
      <c r="L43" s="32"/>
      <c r="M43" s="32"/>
    </row>
    <row r="44" spans="1:13" x14ac:dyDescent="0.3">
      <c r="A44" s="141"/>
      <c r="B44" s="141"/>
      <c r="C44" s="141"/>
      <c r="D44" s="141"/>
      <c r="E44" s="33"/>
      <c r="F44" s="35" t="s">
        <v>101</v>
      </c>
      <c r="G44" s="35">
        <f>G15</f>
        <v>0</v>
      </c>
      <c r="H44" s="35"/>
      <c r="I44" s="35"/>
      <c r="J44" s="35"/>
      <c r="K44" s="32"/>
      <c r="L44" s="32"/>
      <c r="M44" s="32"/>
    </row>
    <row r="45" spans="1:13" ht="5.25" customHeight="1" x14ac:dyDescent="0.3">
      <c r="A45" s="141"/>
      <c r="B45" s="141"/>
      <c r="C45" s="141"/>
      <c r="D45" s="141"/>
      <c r="E45" s="33"/>
      <c r="F45" s="32"/>
      <c r="G45" s="32"/>
      <c r="H45" s="32"/>
      <c r="I45" s="32"/>
      <c r="J45" s="32"/>
      <c r="K45" s="32"/>
      <c r="L45" s="32"/>
      <c r="M45" s="32"/>
    </row>
    <row r="46" spans="1:13" x14ac:dyDescent="0.3">
      <c r="A46" s="141"/>
      <c r="B46" s="141"/>
      <c r="C46" s="141"/>
      <c r="D46" s="141"/>
      <c r="E46" s="33"/>
      <c r="F46" s="35"/>
      <c r="G46" s="35"/>
      <c r="H46" s="35"/>
      <c r="I46" s="35"/>
      <c r="J46" s="35"/>
      <c r="K46" s="32"/>
      <c r="L46" s="32"/>
      <c r="M46" s="32"/>
    </row>
    <row r="47" spans="1:13" ht="6" customHeight="1" x14ac:dyDescent="0.3">
      <c r="A47" s="141"/>
      <c r="B47" s="141"/>
      <c r="C47" s="141"/>
      <c r="D47" s="141"/>
      <c r="E47" s="33"/>
      <c r="F47" s="32"/>
      <c r="G47" s="32"/>
      <c r="H47" s="32"/>
      <c r="I47" s="32"/>
      <c r="J47" s="32"/>
      <c r="K47" s="32"/>
      <c r="L47" s="32"/>
      <c r="M47" s="32"/>
    </row>
    <row r="48" spans="1:13" ht="11.25" customHeight="1" x14ac:dyDescent="0.3">
      <c r="A48" s="141"/>
      <c r="B48" s="141"/>
      <c r="C48" s="141"/>
      <c r="D48" s="141"/>
      <c r="E48" s="33"/>
      <c r="F48" s="35" t="s">
        <v>131</v>
      </c>
      <c r="G48" s="35">
        <f>G19</f>
        <v>0</v>
      </c>
      <c r="H48" s="35"/>
      <c r="I48" s="35"/>
      <c r="J48" s="35"/>
      <c r="K48" s="32"/>
      <c r="L48" s="32"/>
      <c r="M48" s="32"/>
    </row>
    <row r="49" spans="1:13" ht="5.25" customHeight="1" x14ac:dyDescent="0.3">
      <c r="A49" s="141"/>
      <c r="B49" s="141"/>
      <c r="C49" s="141"/>
      <c r="D49" s="141"/>
      <c r="E49" s="33"/>
      <c r="F49" s="32"/>
      <c r="G49" s="32"/>
      <c r="H49" s="32"/>
      <c r="I49" s="32"/>
      <c r="J49" s="32"/>
      <c r="K49" s="32"/>
      <c r="L49" s="32"/>
      <c r="M49" s="32"/>
    </row>
    <row r="50" spans="1:13" ht="5.25" customHeight="1" x14ac:dyDescent="0.3">
      <c r="A50" s="141"/>
      <c r="B50" s="141"/>
      <c r="C50" s="141"/>
      <c r="D50" s="141"/>
      <c r="E50" s="40"/>
      <c r="F50" s="41"/>
      <c r="G50" s="41"/>
      <c r="H50" s="41"/>
      <c r="I50" s="41"/>
      <c r="J50" s="41"/>
      <c r="K50" s="49"/>
      <c r="L50" s="32"/>
      <c r="M50" s="32"/>
    </row>
    <row r="51" spans="1:13" x14ac:dyDescent="0.3">
      <c r="A51" s="141"/>
      <c r="B51" s="141"/>
      <c r="C51" s="141"/>
      <c r="D51" s="141"/>
      <c r="E51" s="33"/>
      <c r="F51" s="32" t="s">
        <v>132</v>
      </c>
      <c r="G51" s="35">
        <f>G22</f>
        <v>0</v>
      </c>
      <c r="H51" s="35"/>
      <c r="I51" s="35"/>
      <c r="J51" s="35"/>
      <c r="K51" s="50"/>
      <c r="L51" s="32"/>
      <c r="M51" s="32"/>
    </row>
    <row r="52" spans="1:13" x14ac:dyDescent="0.3">
      <c r="A52" s="141"/>
      <c r="B52" s="141"/>
      <c r="C52" s="141"/>
      <c r="D52" s="141"/>
      <c r="E52" s="33"/>
      <c r="F52" s="32"/>
      <c r="G52" s="32"/>
      <c r="H52" s="32"/>
      <c r="I52" s="32" t="s">
        <v>133</v>
      </c>
      <c r="J52" s="32"/>
      <c r="K52" s="50"/>
      <c r="L52" s="32"/>
      <c r="M52" s="32"/>
    </row>
    <row r="53" spans="1:13" x14ac:dyDescent="0.3">
      <c r="A53" s="141"/>
      <c r="B53" s="141"/>
      <c r="C53" s="141"/>
      <c r="D53" s="141"/>
      <c r="E53" s="33"/>
      <c r="F53" s="35"/>
      <c r="G53" s="35"/>
      <c r="H53" s="35"/>
      <c r="I53" s="35"/>
      <c r="J53" s="35"/>
      <c r="K53" s="50"/>
      <c r="L53" s="32"/>
      <c r="M53" s="32" t="s">
        <v>10</v>
      </c>
    </row>
    <row r="54" spans="1:13" ht="2.5" customHeight="1" x14ac:dyDescent="0.3">
      <c r="A54" s="141"/>
      <c r="B54" s="141"/>
      <c r="C54" s="141"/>
      <c r="D54" s="141"/>
      <c r="E54" s="33"/>
      <c r="F54" s="32"/>
      <c r="G54" s="32"/>
      <c r="H54" s="32"/>
      <c r="I54" s="32"/>
      <c r="J54" s="32"/>
      <c r="K54" s="50"/>
      <c r="L54" s="32"/>
      <c r="M54" s="32"/>
    </row>
    <row r="55" spans="1:13" x14ac:dyDescent="0.3">
      <c r="A55" s="141"/>
      <c r="B55" s="141"/>
      <c r="C55" s="141"/>
      <c r="D55" s="141"/>
      <c r="E55" s="33"/>
      <c r="F55" s="35" t="s">
        <v>134</v>
      </c>
      <c r="G55" s="35"/>
      <c r="H55" s="35"/>
      <c r="I55" s="35"/>
      <c r="J55" s="35"/>
      <c r="K55" s="50"/>
      <c r="L55" s="32"/>
      <c r="M55" s="32" t="s">
        <v>139</v>
      </c>
    </row>
    <row r="56" spans="1:13" x14ac:dyDescent="0.3">
      <c r="A56" s="141"/>
      <c r="B56" s="141"/>
      <c r="C56" s="141"/>
      <c r="D56" s="141"/>
      <c r="E56" s="33"/>
      <c r="F56" s="32"/>
      <c r="G56" s="32" t="s">
        <v>135</v>
      </c>
      <c r="H56" s="32"/>
      <c r="I56" s="32"/>
      <c r="J56" s="32" t="s">
        <v>136</v>
      </c>
      <c r="K56" s="51"/>
      <c r="M56" s="31" t="str">
        <f>M27</f>
        <v>Schaffhausen Switzerland</v>
      </c>
    </row>
  </sheetData>
  <mergeCells count="2">
    <mergeCell ref="A5:D27"/>
    <mergeCell ref="A34:D56"/>
  </mergeCells>
  <phoneticPr fontId="38" type="noConversion"/>
  <pageMargins left="0.2" right="0.23" top="0.18" bottom="0.17" header="0.17" footer="0.17"/>
  <pageSetup paperSize="9" scale="9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H31"/>
  <sheetViews>
    <sheetView view="pageLayout" topLeftCell="A22" zoomScale="70" zoomScaleNormal="100" zoomScalePageLayoutView="70" workbookViewId="0">
      <selection activeCell="A18" sqref="A18:H24"/>
    </sheetView>
  </sheetViews>
  <sheetFormatPr defaultColWidth="9" defaultRowHeight="14.15" x14ac:dyDescent="0.35"/>
  <cols>
    <col min="1" max="1" width="20.85546875" customWidth="1"/>
    <col min="6" max="6" width="11.5703125" customWidth="1"/>
    <col min="8" max="8" width="8.5" customWidth="1"/>
  </cols>
  <sheetData>
    <row r="1" spans="1:8" ht="49.5" customHeight="1" x14ac:dyDescent="0.55000000000000004">
      <c r="A1" s="159" t="s">
        <v>140</v>
      </c>
      <c r="B1" s="159"/>
      <c r="C1" s="159"/>
      <c r="D1" s="159"/>
      <c r="E1" s="159"/>
      <c r="F1" s="159"/>
      <c r="G1" s="159"/>
      <c r="H1" s="159"/>
    </row>
    <row r="2" spans="1:8" x14ac:dyDescent="0.35">
      <c r="A2" s="160" t="s">
        <v>141</v>
      </c>
      <c r="B2" s="160"/>
      <c r="C2" s="160"/>
      <c r="D2" s="160"/>
      <c r="E2" s="160"/>
      <c r="F2" s="160"/>
      <c r="G2" s="160"/>
      <c r="H2" s="160"/>
    </row>
    <row r="3" spans="1:8" ht="45.65" customHeight="1" x14ac:dyDescent="0.35">
      <c r="A3" s="23" t="s">
        <v>142</v>
      </c>
      <c r="B3" s="156">
        <f>填写区域!B52</f>
        <v>0</v>
      </c>
      <c r="C3" s="156"/>
      <c r="D3" s="156"/>
      <c r="E3" s="156"/>
      <c r="F3" s="24" t="s">
        <v>143</v>
      </c>
      <c r="G3" s="156" t="s">
        <v>144</v>
      </c>
      <c r="H3" s="156"/>
    </row>
    <row r="4" spans="1:8" ht="59.15" customHeight="1" x14ac:dyDescent="0.35">
      <c r="A4" s="23" t="s">
        <v>145</v>
      </c>
      <c r="B4" s="156" t="e">
        <f>填写区域!B53&amp;填写区域!B54&amp;" "&amp;填写区域!B55</f>
        <v>#N/A</v>
      </c>
      <c r="C4" s="156"/>
      <c r="D4" s="156"/>
      <c r="E4" s="156"/>
      <c r="F4" s="24" t="s">
        <v>146</v>
      </c>
      <c r="G4" s="156">
        <v>13833166050</v>
      </c>
      <c r="H4" s="156"/>
    </row>
    <row r="5" spans="1:8" ht="67.5" customHeight="1" x14ac:dyDescent="0.35">
      <c r="A5" s="23" t="s">
        <v>147</v>
      </c>
      <c r="B5" s="156" t="str">
        <f>填写区域!B17</f>
        <v>organic demineralised whey powder 90%</v>
      </c>
      <c r="C5" s="156"/>
      <c r="D5" s="156"/>
      <c r="E5" s="156"/>
      <c r="F5" s="156"/>
      <c r="G5" s="156"/>
      <c r="H5" s="156"/>
    </row>
    <row r="6" spans="1:8" ht="62.15" customHeight="1" x14ac:dyDescent="0.35">
      <c r="A6" s="23" t="s">
        <v>148</v>
      </c>
      <c r="B6" s="156" t="s">
        <v>149</v>
      </c>
      <c r="C6" s="156"/>
      <c r="D6" s="156"/>
      <c r="E6" s="156"/>
      <c r="F6" s="156"/>
      <c r="G6" s="156"/>
      <c r="H6" s="156"/>
    </row>
    <row r="7" spans="1:8" ht="62.15" customHeight="1" x14ac:dyDescent="0.35">
      <c r="A7" s="23" t="s">
        <v>150</v>
      </c>
      <c r="B7" s="156" t="s">
        <v>151</v>
      </c>
      <c r="C7" s="156"/>
      <c r="D7" s="156"/>
      <c r="E7" s="156"/>
      <c r="F7" s="156"/>
      <c r="G7" s="156"/>
      <c r="H7" s="156"/>
    </row>
    <row r="8" spans="1:8" ht="46" customHeight="1" x14ac:dyDescent="0.35">
      <c r="A8" s="23" t="s">
        <v>152</v>
      </c>
      <c r="B8" s="156">
        <f>填写区域!B62</f>
        <v>0</v>
      </c>
      <c r="C8" s="156"/>
      <c r="D8" s="156"/>
      <c r="E8" s="156"/>
      <c r="F8" s="156"/>
      <c r="G8" s="156"/>
      <c r="H8" s="156"/>
    </row>
    <row r="9" spans="1:8" ht="62.5" customHeight="1" x14ac:dyDescent="0.35">
      <c r="A9" s="23" t="s">
        <v>153</v>
      </c>
      <c r="B9" s="156" t="str">
        <f>填写区域!B17&amp;"-"&amp;填写区域!B63</f>
        <v>organic demineralised whey powder 90%-</v>
      </c>
      <c r="C9" s="156"/>
      <c r="D9" s="156"/>
      <c r="E9" s="156"/>
      <c r="F9" s="156"/>
      <c r="G9" s="156"/>
      <c r="H9" s="156"/>
    </row>
    <row r="10" spans="1:8" ht="60.65" customHeight="1" x14ac:dyDescent="0.35">
      <c r="A10" s="23" t="s">
        <v>154</v>
      </c>
      <c r="B10" s="156" t="str">
        <f>填写区域!F19</f>
        <v>18.00 MT</v>
      </c>
      <c r="C10" s="156"/>
      <c r="D10" s="156"/>
      <c r="E10" s="156"/>
      <c r="F10" s="156"/>
      <c r="G10" s="156"/>
      <c r="H10" s="156"/>
    </row>
    <row r="11" spans="1:8" ht="77.5" customHeight="1" x14ac:dyDescent="0.35">
      <c r="A11" s="23" t="s">
        <v>155</v>
      </c>
      <c r="B11" s="157" t="str">
        <f>填写区域!B17&amp;"："&amp;填写区域!B38</f>
        <v>organic demineralised whey powder 90%：</v>
      </c>
      <c r="C11" s="157"/>
      <c r="D11" s="157"/>
      <c r="E11" s="157"/>
      <c r="F11" s="157"/>
      <c r="G11" s="157"/>
      <c r="H11" s="157"/>
    </row>
    <row r="12" spans="1:8" ht="57.65" customHeight="1" x14ac:dyDescent="0.35">
      <c r="A12" s="23" t="s">
        <v>156</v>
      </c>
      <c r="B12" s="156">
        <f>填写区域!B64</f>
        <v>0</v>
      </c>
      <c r="C12" s="156"/>
      <c r="D12" s="156"/>
      <c r="E12" s="156"/>
      <c r="F12" s="156"/>
      <c r="G12" s="156"/>
      <c r="H12" s="156"/>
    </row>
    <row r="13" spans="1:8" ht="53.5" customHeight="1" x14ac:dyDescent="0.35">
      <c r="A13" s="23" t="s">
        <v>157</v>
      </c>
      <c r="B13" s="149">
        <f>填写区域!B31</f>
        <v>0</v>
      </c>
      <c r="C13" s="149"/>
      <c r="D13" s="149"/>
      <c r="E13" s="149" t="s">
        <v>158</v>
      </c>
      <c r="F13" s="149"/>
      <c r="G13" s="158" t="str">
        <f>填写区域!B5</f>
        <v>AC251001</v>
      </c>
      <c r="H13" s="149"/>
    </row>
    <row r="14" spans="1:8" ht="65.150000000000006" customHeight="1" x14ac:dyDescent="0.35">
      <c r="A14" s="23" t="s">
        <v>159</v>
      </c>
      <c r="B14" s="147">
        <f>填写区域!B40</f>
        <v>0</v>
      </c>
      <c r="C14" s="147"/>
      <c r="D14" s="147"/>
      <c r="E14" s="147"/>
      <c r="F14" s="147"/>
      <c r="G14" s="147"/>
      <c r="H14" s="147"/>
    </row>
    <row r="15" spans="1:8" ht="43.5" customHeight="1" x14ac:dyDescent="0.35">
      <c r="A15" s="23" t="s">
        <v>160</v>
      </c>
      <c r="B15" s="148">
        <f>填写区域!B57</f>
        <v>0</v>
      </c>
      <c r="C15" s="148"/>
      <c r="D15" s="148"/>
      <c r="E15" s="148"/>
      <c r="F15" s="148"/>
      <c r="G15" s="148"/>
      <c r="H15" s="148"/>
    </row>
    <row r="16" spans="1:8" ht="30" x14ac:dyDescent="0.35">
      <c r="A16" s="23" t="s">
        <v>161</v>
      </c>
      <c r="B16" s="149"/>
      <c r="C16" s="149"/>
      <c r="D16" s="149"/>
      <c r="E16" s="149"/>
      <c r="F16" s="149"/>
      <c r="G16" s="149"/>
      <c r="H16" s="149"/>
    </row>
    <row r="17" spans="1:8" ht="15" customHeight="1" x14ac:dyDescent="0.35">
      <c r="A17" s="150" t="s">
        <v>162</v>
      </c>
      <c r="B17" s="151"/>
      <c r="C17" s="151"/>
      <c r="D17" s="151"/>
      <c r="E17" s="151"/>
      <c r="F17" s="151"/>
      <c r="G17" s="151"/>
      <c r="H17" s="152"/>
    </row>
    <row r="18" spans="1:8" ht="31" customHeight="1" x14ac:dyDescent="0.35">
      <c r="A18" s="144" t="s">
        <v>163</v>
      </c>
      <c r="B18" s="145"/>
      <c r="C18" s="145"/>
      <c r="D18" s="145"/>
      <c r="E18" s="145"/>
      <c r="F18" s="145"/>
      <c r="G18" s="145"/>
      <c r="H18" s="146"/>
    </row>
    <row r="19" spans="1:8" ht="15.65" customHeight="1" x14ac:dyDescent="0.35">
      <c r="A19" s="144"/>
      <c r="B19" s="145"/>
      <c r="C19" s="145"/>
      <c r="D19" s="145"/>
      <c r="E19" s="145"/>
      <c r="F19" s="145"/>
      <c r="G19" s="145"/>
      <c r="H19" s="146"/>
    </row>
    <row r="20" spans="1:8" ht="15.65" customHeight="1" x14ac:dyDescent="0.35">
      <c r="A20" s="144"/>
      <c r="B20" s="145"/>
      <c r="C20" s="145"/>
      <c r="D20" s="145"/>
      <c r="E20" s="145"/>
      <c r="F20" s="145"/>
      <c r="G20" s="145"/>
      <c r="H20" s="146"/>
    </row>
    <row r="21" spans="1:8" ht="15.65" customHeight="1" x14ac:dyDescent="0.35">
      <c r="A21" s="144"/>
      <c r="B21" s="145"/>
      <c r="C21" s="145"/>
      <c r="D21" s="145"/>
      <c r="E21" s="145"/>
      <c r="F21" s="145"/>
      <c r="G21" s="145"/>
      <c r="H21" s="146"/>
    </row>
    <row r="22" spans="1:8" ht="15.65" customHeight="1" x14ac:dyDescent="0.35">
      <c r="A22" s="144"/>
      <c r="B22" s="145"/>
      <c r="C22" s="145"/>
      <c r="D22" s="145"/>
      <c r="E22" s="145"/>
      <c r="F22" s="145"/>
      <c r="G22" s="145"/>
      <c r="H22" s="146"/>
    </row>
    <row r="23" spans="1:8" ht="15.65" customHeight="1" x14ac:dyDescent="0.35">
      <c r="A23" s="144"/>
      <c r="B23" s="145"/>
      <c r="C23" s="145"/>
      <c r="D23" s="145"/>
      <c r="E23" s="145"/>
      <c r="F23" s="145"/>
      <c r="G23" s="145"/>
      <c r="H23" s="146"/>
    </row>
    <row r="24" spans="1:8" ht="15.65" customHeight="1" x14ac:dyDescent="0.35">
      <c r="A24" s="144"/>
      <c r="B24" s="145"/>
      <c r="C24" s="145"/>
      <c r="D24" s="145"/>
      <c r="E24" s="145"/>
      <c r="F24" s="145"/>
      <c r="G24" s="145"/>
      <c r="H24" s="146"/>
    </row>
    <row r="25" spans="1:8" ht="32.15" customHeight="1" x14ac:dyDescent="0.4">
      <c r="A25" s="153" t="s">
        <v>164</v>
      </c>
      <c r="B25" s="154"/>
      <c r="C25" s="154"/>
      <c r="D25" s="154"/>
      <c r="E25" s="154"/>
      <c r="F25" s="154"/>
      <c r="G25" s="154"/>
      <c r="H25" s="155"/>
    </row>
    <row r="26" spans="1:8" x14ac:dyDescent="0.35">
      <c r="A26" s="25"/>
      <c r="B26" s="25"/>
      <c r="C26" s="25"/>
      <c r="D26" s="25"/>
      <c r="E26" s="25"/>
      <c r="F26" s="25"/>
    </row>
    <row r="27" spans="1:8" ht="148.5" customHeight="1" x14ac:dyDescent="0.35">
      <c r="A27" s="142" t="s">
        <v>165</v>
      </c>
      <c r="B27" s="143"/>
      <c r="C27" s="143"/>
      <c r="D27" s="143"/>
      <c r="E27" s="143"/>
      <c r="F27" s="143"/>
      <c r="G27" s="143"/>
      <c r="H27" s="143"/>
    </row>
    <row r="28" spans="1:8" ht="18" x14ac:dyDescent="0.35">
      <c r="A28" s="26"/>
    </row>
    <row r="29" spans="1:8" ht="18.899999999999999" x14ac:dyDescent="0.45">
      <c r="A29" s="27" t="s">
        <v>166</v>
      </c>
    </row>
    <row r="30" spans="1:8" x14ac:dyDescent="0.35">
      <c r="A30" s="28"/>
    </row>
    <row r="31" spans="1:8" ht="18.45" x14ac:dyDescent="0.35">
      <c r="A31" s="29" t="s">
        <v>167</v>
      </c>
    </row>
  </sheetData>
  <mergeCells count="24">
    <mergeCell ref="A1:H1"/>
    <mergeCell ref="A2:H2"/>
    <mergeCell ref="B3:E3"/>
    <mergeCell ref="G3:H3"/>
    <mergeCell ref="B4:E4"/>
    <mergeCell ref="G4:H4"/>
    <mergeCell ref="B5:H5"/>
    <mergeCell ref="B6:H6"/>
    <mergeCell ref="B7:H7"/>
    <mergeCell ref="B8:H8"/>
    <mergeCell ref="B9:H9"/>
    <mergeCell ref="B10:H10"/>
    <mergeCell ref="B11:H11"/>
    <mergeCell ref="B12:H12"/>
    <mergeCell ref="B13:D13"/>
    <mergeCell ref="E13:F13"/>
    <mergeCell ref="G13:H13"/>
    <mergeCell ref="A27:H27"/>
    <mergeCell ref="A18:H24"/>
    <mergeCell ref="B14:H14"/>
    <mergeCell ref="B15:H15"/>
    <mergeCell ref="B16:H16"/>
    <mergeCell ref="A17:H17"/>
    <mergeCell ref="A25:H25"/>
  </mergeCells>
  <phoneticPr fontId="38" type="noConversion"/>
  <pageMargins left="0.7" right="0.55555555555555602" top="0.75" bottom="0.75" header="0.3" footer="0.3"/>
  <pageSetup paperSize="9" orientation="portrait" r:id="rId1"/>
  <headerFooter>
    <oddHeader>&amp;L北京五洲恒通认证有限公司&amp;RCHTC/OMA15/117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34"/>
  <sheetViews>
    <sheetView view="pageLayout" topLeftCell="A26" zoomScaleNormal="100" workbookViewId="0">
      <selection activeCell="A33" sqref="A33"/>
    </sheetView>
  </sheetViews>
  <sheetFormatPr defaultColWidth="9" defaultRowHeight="14.15" x14ac:dyDescent="0.35"/>
  <cols>
    <col min="6" max="6" width="7.35546875" customWidth="1"/>
    <col min="9" max="9" width="13.7109375" customWidth="1"/>
  </cols>
  <sheetData>
    <row r="1" spans="1:9" ht="84" customHeight="1" x14ac:dyDescent="0.35">
      <c r="G1" s="125" t="str">
        <f>填写区域!B6&amp;"
        Contract No.:"&amp;填写区域!B5</f>
        <v>Advanced Ingredients AG
        Contract No.:AC251001</v>
      </c>
      <c r="H1" s="137"/>
      <c r="I1" s="137"/>
    </row>
    <row r="2" spans="1:9" s="18" customFormat="1" ht="20.5" customHeight="1" x14ac:dyDescent="0.35">
      <c r="A2" s="130" t="str">
        <f>"Sales Contract "&amp;填写区域!B5</f>
        <v>Sales Contract AC251001</v>
      </c>
      <c r="B2" s="131"/>
      <c r="C2" s="131"/>
      <c r="D2" s="131"/>
      <c r="E2" s="131"/>
      <c r="F2" s="131"/>
      <c r="G2" s="131"/>
      <c r="H2" s="131"/>
      <c r="I2" s="131"/>
    </row>
    <row r="3" spans="1:9" s="18" customFormat="1" x14ac:dyDescent="0.35"/>
    <row r="4" spans="1:9" s="18" customFormat="1" ht="27.75" customHeight="1" x14ac:dyDescent="0.35">
      <c r="A4" s="3" t="s">
        <v>95</v>
      </c>
    </row>
    <row r="5" spans="1:9" s="18" customFormat="1" ht="27.75" customHeight="1" x14ac:dyDescent="0.35">
      <c r="A5" s="3" t="s">
        <v>96</v>
      </c>
      <c r="B5" s="3"/>
      <c r="C5" s="3"/>
      <c r="D5" s="3"/>
      <c r="E5" s="3"/>
      <c r="F5" s="3" t="s">
        <v>97</v>
      </c>
    </row>
    <row r="6" spans="1:9" s="18" customFormat="1" ht="27.75" customHeight="1" x14ac:dyDescent="0.35">
      <c r="A6" s="3">
        <f>填写区域!B52</f>
        <v>0</v>
      </c>
      <c r="B6" s="3"/>
      <c r="C6" s="3"/>
      <c r="D6" s="3"/>
      <c r="E6" s="3"/>
      <c r="F6" s="126">
        <f>填写区域!B57</f>
        <v>0</v>
      </c>
      <c r="G6" s="126"/>
      <c r="H6" s="126"/>
      <c r="I6" s="126"/>
    </row>
    <row r="7" spans="1:9" s="18" customFormat="1" ht="27.75" customHeight="1" x14ac:dyDescent="0.35">
      <c r="A7" s="3" t="e">
        <f>填写区域!B53</f>
        <v>#N/A</v>
      </c>
      <c r="B7" s="3"/>
      <c r="C7" s="3"/>
      <c r="D7" s="3"/>
      <c r="E7" s="3"/>
      <c r="F7" s="126" t="e">
        <f>填写区域!B58</f>
        <v>#N/A</v>
      </c>
      <c r="G7" s="126"/>
      <c r="H7" s="126"/>
      <c r="I7" s="126"/>
    </row>
    <row r="8" spans="1:9" s="18" customFormat="1" ht="27.75" customHeight="1" x14ac:dyDescent="0.35">
      <c r="A8" s="3" t="e">
        <f>填写区域!B54</f>
        <v>#N/A</v>
      </c>
      <c r="B8" s="3"/>
      <c r="C8" s="3"/>
      <c r="D8" s="3"/>
      <c r="E8" s="3"/>
      <c r="F8" s="126" t="e">
        <f>填写区域!B59</f>
        <v>#N/A</v>
      </c>
      <c r="G8" s="126"/>
      <c r="H8" s="126"/>
      <c r="I8" s="126"/>
    </row>
    <row r="9" spans="1:9" s="18" customFormat="1" ht="27.75" customHeight="1" x14ac:dyDescent="0.35">
      <c r="A9" s="3" t="e">
        <f>填写区域!B55</f>
        <v>#N/A</v>
      </c>
      <c r="B9" s="3"/>
      <c r="C9" s="3"/>
      <c r="D9" s="3"/>
      <c r="E9" s="3"/>
      <c r="F9" s="126" t="e">
        <f>填写区域!B60</f>
        <v>#N/A</v>
      </c>
      <c r="G9" s="126"/>
      <c r="H9" s="126"/>
      <c r="I9" s="126"/>
    </row>
    <row r="10" spans="1:9" s="18" customFormat="1" x14ac:dyDescent="0.35">
      <c r="A10" s="3"/>
    </row>
    <row r="11" spans="1:9" s="18" customFormat="1" x14ac:dyDescent="0.35">
      <c r="A11" s="19"/>
      <c r="B11" s="19"/>
      <c r="C11" s="19"/>
      <c r="D11" s="19"/>
      <c r="E11" s="19"/>
      <c r="F11" s="19"/>
      <c r="G11" s="19"/>
      <c r="H11" s="19"/>
      <c r="I11" s="19"/>
    </row>
    <row r="12" spans="1:9" s="18" customFormat="1" x14ac:dyDescent="0.35"/>
    <row r="13" spans="1:9" s="18" customFormat="1" ht="27.75" customHeight="1" x14ac:dyDescent="0.35">
      <c r="A13" s="3" t="s">
        <v>98</v>
      </c>
    </row>
    <row r="14" spans="1:9" s="18" customFormat="1" ht="27.75" customHeight="1" x14ac:dyDescent="0.35">
      <c r="A14" s="8" t="s">
        <v>43</v>
      </c>
      <c r="E14" s="129" t="str">
        <f>填写区域!B17</f>
        <v>organic demineralised whey powder 90%</v>
      </c>
      <c r="F14" s="129"/>
      <c r="G14" s="129"/>
      <c r="H14" s="129"/>
      <c r="I14" s="129"/>
    </row>
    <row r="15" spans="1:9" s="18" customFormat="1" ht="27.75" customHeight="1" x14ac:dyDescent="0.35">
      <c r="A15" s="8" t="s">
        <v>45</v>
      </c>
      <c r="E15" s="20" t="str">
        <f>填写区域!B18</f>
        <v>LVEO</v>
      </c>
      <c r="F15" s="20"/>
      <c r="G15" s="20"/>
      <c r="H15" s="20"/>
      <c r="I15" s="20"/>
    </row>
    <row r="16" spans="1:9" s="18" customFormat="1" ht="27.75" customHeight="1" x14ac:dyDescent="0.35">
      <c r="A16" s="8" t="s">
        <v>46</v>
      </c>
      <c r="E16" s="129" t="str">
        <f>填写区域!F19</f>
        <v>18.00 MT</v>
      </c>
      <c r="F16" s="129"/>
      <c r="G16" s="129"/>
      <c r="H16" s="129"/>
      <c r="I16" s="129"/>
    </row>
    <row r="17" spans="1:9" s="18" customFormat="1" ht="27.75" customHeight="1" x14ac:dyDescent="0.35">
      <c r="A17" s="8" t="s">
        <v>48</v>
      </c>
      <c r="E17" s="129" t="str">
        <f>填写区域!F20</f>
        <v>EUR 11.20 / MT</v>
      </c>
      <c r="F17" s="129"/>
      <c r="G17" s="129"/>
      <c r="H17" s="129"/>
      <c r="I17" s="129"/>
    </row>
    <row r="18" spans="1:9" s="18" customFormat="1" ht="27.75" customHeight="1" x14ac:dyDescent="0.35">
      <c r="A18" s="8" t="s">
        <v>50</v>
      </c>
      <c r="E18" s="129" t="str">
        <f>填写区域!F21</f>
        <v>EUR 201,600.00</v>
      </c>
      <c r="F18" s="129"/>
      <c r="G18" s="129"/>
      <c r="H18" s="129"/>
      <c r="I18" s="129"/>
    </row>
    <row r="19" spans="1:9" s="18" customFormat="1" ht="27.75" hidden="1" customHeight="1" x14ac:dyDescent="0.35">
      <c r="A19" s="8" t="s">
        <v>99</v>
      </c>
      <c r="E19" s="126" t="str">
        <f>填写区域!B22</f>
        <v>5% more or less allowed both for quantity and amount</v>
      </c>
      <c r="F19" s="126"/>
      <c r="G19" s="126"/>
      <c r="H19" s="126"/>
      <c r="I19" s="126"/>
    </row>
    <row r="20" spans="1:9" s="18" customFormat="1" ht="27.75" customHeight="1" x14ac:dyDescent="0.35">
      <c r="A20" s="8" t="s">
        <v>52</v>
      </c>
      <c r="E20" s="126" t="str">
        <f>填写区域!B23</f>
        <v>CIF Tianjin, Xingang,China (Incoterms 2020)</v>
      </c>
      <c r="F20" s="126"/>
      <c r="G20" s="126"/>
      <c r="H20" s="126"/>
      <c r="I20" s="126"/>
    </row>
    <row r="21" spans="1:9" s="18" customFormat="1" ht="27.75" customHeight="1" x14ac:dyDescent="0.35">
      <c r="A21" s="8" t="s">
        <v>55</v>
      </c>
      <c r="E21" s="126" t="str">
        <f>填写区域!B24</f>
        <v>25,00 kg multilayer paper bags with PE-inliner,
New heat treated One-Way-Pallets 1000×1200</v>
      </c>
      <c r="F21" s="126"/>
      <c r="G21" s="126"/>
      <c r="H21" s="126"/>
      <c r="I21" s="126"/>
    </row>
    <row r="22" spans="1:9" s="18" customFormat="1" ht="27.75" customHeight="1" x14ac:dyDescent="0.35">
      <c r="A22" s="8" t="s">
        <v>57</v>
      </c>
      <c r="E22" s="126" t="e">
        <f>填写区域!B25</f>
        <v>#VALUE!</v>
      </c>
      <c r="F22" s="126"/>
      <c r="G22" s="126"/>
      <c r="H22" s="126"/>
      <c r="I22" s="126"/>
    </row>
    <row r="23" spans="1:9" s="18" customFormat="1" ht="27.75" customHeight="1" x14ac:dyDescent="0.35">
      <c r="A23" s="6" t="s">
        <v>59</v>
      </c>
      <c r="B23" s="19"/>
      <c r="C23" s="19"/>
      <c r="D23" s="19"/>
      <c r="E23" s="127" t="str">
        <f>填写区域!B26</f>
        <v>L/C 90 days after B/L date</v>
      </c>
      <c r="F23" s="127"/>
      <c r="G23" s="127"/>
      <c r="H23" s="127"/>
      <c r="I23" s="127"/>
    </row>
    <row r="24" spans="1:9" s="18" customFormat="1" x14ac:dyDescent="0.35">
      <c r="A24" s="21" t="str">
        <f>"The general terms of business drawn up by "&amp;填写区域!B52&amp;" always apply. "</f>
        <v xml:space="preserve">The general terms of business drawn up by  always apply. </v>
      </c>
      <c r="B24" s="3"/>
      <c r="C24" s="3"/>
      <c r="D24" s="3"/>
      <c r="E24" s="3"/>
      <c r="F24" s="3"/>
      <c r="G24" s="3"/>
      <c r="H24" s="3"/>
      <c r="I24" s="3"/>
    </row>
    <row r="25" spans="1:9" s="18" customFormat="1" x14ac:dyDescent="0.35">
      <c r="A25" s="3"/>
      <c r="B25" s="3"/>
      <c r="C25" s="3"/>
      <c r="D25" s="3"/>
      <c r="E25" s="3"/>
      <c r="F25" s="3"/>
      <c r="G25" s="3"/>
      <c r="H25" s="3"/>
      <c r="I25" s="3"/>
    </row>
    <row r="26" spans="1:9" s="18" customFormat="1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s="18" customFormat="1" ht="21" customHeight="1" x14ac:dyDescent="0.35">
      <c r="A27" s="3" t="s">
        <v>96</v>
      </c>
      <c r="B27" s="3"/>
      <c r="C27" s="3"/>
      <c r="D27" s="3"/>
      <c r="E27" s="3"/>
      <c r="F27" s="3" t="s">
        <v>97</v>
      </c>
      <c r="H27" s="3"/>
      <c r="I27" s="3"/>
    </row>
    <row r="28" spans="1:9" ht="27.75" customHeight="1" x14ac:dyDescent="0.35">
      <c r="A28" s="3">
        <f>填写区域!B52</f>
        <v>0</v>
      </c>
      <c r="B28" s="3"/>
      <c r="C28" s="3"/>
      <c r="D28" s="3"/>
      <c r="E28" s="3"/>
      <c r="F28" s="126">
        <f>填写区域!B57</f>
        <v>0</v>
      </c>
      <c r="G28" s="126"/>
      <c r="H28" s="126"/>
      <c r="I28" s="126"/>
    </row>
    <row r="29" spans="1:9" ht="27.75" customHeight="1" x14ac:dyDescent="0.35">
      <c r="A29" s="3" t="str">
        <f>"Date: "&amp;填写区域!F56</f>
        <v>Date: 1900 January 0ᵗʰ</v>
      </c>
      <c r="B29" s="3"/>
      <c r="C29" s="3"/>
      <c r="D29" s="3"/>
      <c r="E29" s="3"/>
      <c r="F29" s="3" t="str">
        <f>"Date: "&amp;填写区域!F61</f>
        <v>Date: 1900 January 0ᵗʰ</v>
      </c>
      <c r="H29" s="15"/>
      <c r="I29" s="15"/>
    </row>
    <row r="32" spans="1:9" ht="75.75" customHeight="1" x14ac:dyDescent="0.35">
      <c r="A32" s="128" t="e">
        <f>VLOOKUP(A28,参数库!A:F,6,)</f>
        <v>#N/A</v>
      </c>
      <c r="B32" s="128"/>
      <c r="C32" s="128"/>
      <c r="D32" s="128"/>
      <c r="E32" s="128"/>
      <c r="F32" s="128"/>
      <c r="G32" s="128"/>
      <c r="H32" s="128"/>
      <c r="I32" s="128"/>
    </row>
    <row r="33" spans="1:9" x14ac:dyDescent="0.35">
      <c r="A33" s="22"/>
      <c r="B33" s="22"/>
      <c r="C33" s="22"/>
      <c r="D33" s="22"/>
      <c r="E33" s="22"/>
      <c r="F33" s="22"/>
      <c r="G33" s="22"/>
      <c r="H33" s="22"/>
      <c r="I33" s="22"/>
    </row>
    <row r="34" spans="1:9" ht="14.15" customHeight="1" x14ac:dyDescent="0.35">
      <c r="A34" s="22"/>
      <c r="B34" s="22"/>
      <c r="C34" s="22"/>
      <c r="D34" s="22"/>
      <c r="E34" s="22"/>
      <c r="F34" s="22"/>
      <c r="G34" s="22"/>
      <c r="H34" s="22"/>
      <c r="I34" s="22"/>
    </row>
  </sheetData>
  <mergeCells count="17">
    <mergeCell ref="G1:I1"/>
    <mergeCell ref="A2:I2"/>
    <mergeCell ref="F6:I6"/>
    <mergeCell ref="F7:I7"/>
    <mergeCell ref="F8:I8"/>
    <mergeCell ref="F9:I9"/>
    <mergeCell ref="E14:I14"/>
    <mergeCell ref="E16:I16"/>
    <mergeCell ref="E17:I17"/>
    <mergeCell ref="E18:I18"/>
    <mergeCell ref="F28:I28"/>
    <mergeCell ref="A32:I32"/>
    <mergeCell ref="E19:I19"/>
    <mergeCell ref="E20:I20"/>
    <mergeCell ref="E21:I21"/>
    <mergeCell ref="E22:I22"/>
    <mergeCell ref="E23:I23"/>
  </mergeCells>
  <phoneticPr fontId="38" type="noConversion"/>
  <pageMargins left="0.7" right="0.7" top="0.1875" bottom="0.75" header="0.3" footer="0.3"/>
  <pageSetup paperSize="9" orientation="portrait" r:id="rId1"/>
  <headerFooter>
    <oddHeader>&amp;R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35"/>
  <sheetViews>
    <sheetView view="pageLayout" topLeftCell="A30" zoomScaleNormal="100" workbookViewId="0">
      <selection activeCell="A35" sqref="A35:I35"/>
    </sheetView>
  </sheetViews>
  <sheetFormatPr defaultColWidth="9" defaultRowHeight="14.15" x14ac:dyDescent="0.35"/>
  <cols>
    <col min="8" max="8" width="8.0703125" customWidth="1"/>
    <col min="9" max="9" width="13" customWidth="1"/>
  </cols>
  <sheetData>
    <row r="1" spans="1:9" ht="84" customHeight="1" x14ac:dyDescent="0.35">
      <c r="G1" s="125" t="str">
        <f>填写区域!B6&amp;"
        Contract No.:"&amp;填写区域!B31</f>
        <v>Advanced Ingredients AG
        Contract No.:</v>
      </c>
      <c r="H1" s="137"/>
      <c r="I1" s="137"/>
    </row>
    <row r="2" spans="1:9" x14ac:dyDescent="0.35">
      <c r="A2" s="3" t="s">
        <v>100</v>
      </c>
    </row>
    <row r="3" spans="1:9" ht="27.75" customHeight="1" x14ac:dyDescent="0.35">
      <c r="A3" s="138" t="e">
        <f>填写区域!B52&amp;"
"&amp;填写区域!B53&amp;填写区域!B54&amp;","&amp;填写区域!B55</f>
        <v>#N/A</v>
      </c>
      <c r="B3" s="139"/>
      <c r="C3" s="139"/>
      <c r="D3" s="139"/>
      <c r="E3" s="139"/>
      <c r="F3" s="139"/>
      <c r="G3" s="139"/>
      <c r="H3" s="139"/>
      <c r="I3" s="139"/>
    </row>
    <row r="4" spans="1:9" x14ac:dyDescent="0.35">
      <c r="A4" s="3" t="s">
        <v>101</v>
      </c>
    </row>
    <row r="5" spans="1:9" ht="41.9" customHeight="1" x14ac:dyDescent="0.35">
      <c r="A5" s="140" t="e">
        <f>填写区域!B57&amp;"
"&amp;填写区域!B58&amp;填写区域!B59&amp;","&amp;填写区域!B60</f>
        <v>#N/A</v>
      </c>
      <c r="B5" s="140"/>
      <c r="C5" s="140"/>
      <c r="D5" s="140"/>
      <c r="E5" s="140"/>
      <c r="F5" s="140"/>
      <c r="G5" s="140"/>
      <c r="H5" s="140"/>
      <c r="I5" s="140"/>
    </row>
    <row r="7" spans="1:9" x14ac:dyDescent="0.35">
      <c r="G7" s="5" t="s">
        <v>7</v>
      </c>
      <c r="I7">
        <f>填写区域!B30</f>
        <v>10001</v>
      </c>
    </row>
    <row r="8" spans="1:9" x14ac:dyDescent="0.35">
      <c r="G8" s="5" t="s">
        <v>102</v>
      </c>
      <c r="I8" s="17" t="str">
        <f>填写区域!F65</f>
        <v>1900 January 0ᵗʰ</v>
      </c>
    </row>
    <row r="10" spans="1:9" s="2" customFormat="1" ht="27.75" customHeight="1" x14ac:dyDescent="0.35">
      <c r="A10" s="6" t="s">
        <v>103</v>
      </c>
      <c r="F10" s="2">
        <f>填写区域!B31</f>
        <v>0</v>
      </c>
    </row>
    <row r="11" spans="1:9" x14ac:dyDescent="0.35">
      <c r="A11" s="3" t="s">
        <v>104</v>
      </c>
      <c r="F11" s="7" t="str">
        <f>填写区域!B5</f>
        <v>AC251001</v>
      </c>
    </row>
    <row r="12" spans="1:9" x14ac:dyDescent="0.35">
      <c r="A12" s="3"/>
    </row>
    <row r="13" spans="1:9" x14ac:dyDescent="0.35">
      <c r="A13" s="8" t="s">
        <v>43</v>
      </c>
      <c r="F13" s="132" t="str">
        <f>填写区域!B17</f>
        <v>organic demineralised whey powder 90%</v>
      </c>
      <c r="G13" s="132"/>
      <c r="H13" s="132"/>
      <c r="I13" s="132"/>
    </row>
    <row r="14" spans="1:9" x14ac:dyDescent="0.35">
      <c r="A14" s="8" t="s">
        <v>45</v>
      </c>
      <c r="F14" s="132" t="str">
        <f>填写区域!B18</f>
        <v>LVEO</v>
      </c>
      <c r="G14" s="132"/>
      <c r="H14" s="132"/>
      <c r="I14" s="132"/>
    </row>
    <row r="15" spans="1:9" x14ac:dyDescent="0.35">
      <c r="A15" s="8" t="s">
        <v>105</v>
      </c>
      <c r="F15" s="161" t="str">
        <f>TEXT(填写区域!B19,"#,##0")&amp;填写区域!F19</f>
        <v>1818.00 MT</v>
      </c>
      <c r="G15" s="161"/>
      <c r="H15" s="161"/>
      <c r="I15" s="161"/>
    </row>
    <row r="16" spans="1:9" x14ac:dyDescent="0.35">
      <c r="A16" s="8" t="s">
        <v>106</v>
      </c>
      <c r="F16" s="161" t="str">
        <f>填写区域!F20</f>
        <v>EUR 11.20 / MT</v>
      </c>
      <c r="G16" s="161"/>
      <c r="H16" s="161"/>
      <c r="I16" s="161"/>
    </row>
    <row r="17" spans="1:9" x14ac:dyDescent="0.35">
      <c r="A17" s="8" t="s">
        <v>107</v>
      </c>
      <c r="F17" s="161" t="str">
        <f>填写区域!F21</f>
        <v>EUR 201,600.00</v>
      </c>
      <c r="G17" s="161"/>
      <c r="H17" s="161"/>
      <c r="I17" s="161"/>
    </row>
    <row r="18" spans="1:9" ht="27.75" customHeight="1" x14ac:dyDescent="0.35">
      <c r="A18" s="9" t="s">
        <v>108</v>
      </c>
      <c r="F18" s="136" t="str">
        <f>填写区域!B23</f>
        <v>CIF Tianjin, Xingang,China (Incoterms 2020)</v>
      </c>
      <c r="G18" s="132"/>
      <c r="H18" s="132"/>
      <c r="I18" s="132"/>
    </row>
    <row r="19" spans="1:9" x14ac:dyDescent="0.35">
      <c r="A19" s="8" t="s">
        <v>66</v>
      </c>
      <c r="F19" s="132">
        <f>填写区域!B32</f>
        <v>0</v>
      </c>
      <c r="G19" s="132"/>
      <c r="H19" s="132"/>
      <c r="I19" s="132"/>
    </row>
    <row r="20" spans="1:9" x14ac:dyDescent="0.35">
      <c r="A20" s="8" t="s">
        <v>68</v>
      </c>
      <c r="F20" s="132">
        <f>填写区域!B33</f>
        <v>0</v>
      </c>
      <c r="G20" s="132"/>
      <c r="H20" s="132"/>
      <c r="I20" s="132"/>
    </row>
    <row r="21" spans="1:9" x14ac:dyDescent="0.35">
      <c r="A21" s="8" t="s">
        <v>15</v>
      </c>
      <c r="F21" s="133" t="str">
        <f>填写区域!B5</f>
        <v>AC251001</v>
      </c>
      <c r="G21" s="132"/>
      <c r="H21" s="132"/>
      <c r="I21" s="132"/>
    </row>
    <row r="23" spans="1:9" x14ac:dyDescent="0.35">
      <c r="F23" s="134" t="e">
        <f>"Ship on board date "&amp;填写区域!F15</f>
        <v>#VALUE!</v>
      </c>
      <c r="G23" s="134"/>
      <c r="H23" s="134"/>
      <c r="I23" s="134"/>
    </row>
    <row r="24" spans="1:9" x14ac:dyDescent="0.35">
      <c r="F24" s="11"/>
    </row>
    <row r="25" spans="1:9" ht="25" customHeight="1" x14ac:dyDescent="0.35">
      <c r="A25" s="12" t="s">
        <v>168</v>
      </c>
      <c r="B25" s="2"/>
      <c r="C25" s="2"/>
      <c r="D25" s="2"/>
      <c r="E25" s="2"/>
      <c r="F25" s="2"/>
      <c r="G25" s="2"/>
      <c r="H25" s="2"/>
      <c r="I25" s="2"/>
    </row>
    <row r="28" spans="1:9" ht="20.149999999999999" customHeight="1" x14ac:dyDescent="0.35">
      <c r="A28" s="13"/>
      <c r="B28" s="13"/>
      <c r="C28" s="13"/>
      <c r="D28" s="13"/>
      <c r="E28" s="13"/>
      <c r="F28" s="13"/>
      <c r="G28" s="14" t="s">
        <v>109</v>
      </c>
      <c r="H28" s="135">
        <f>填写区域!B21</f>
        <v>201.6</v>
      </c>
      <c r="I28" s="135"/>
    </row>
    <row r="29" spans="1:9" x14ac:dyDescent="0.35">
      <c r="A29" s="15" t="str">
        <f>"Payment conditions: L/C 90 days after B/L date (I.E. "&amp;填写区域!F35</f>
        <v>Payment conditions: L/C 90 days after B/L date (I.E. 1900 March 30ᵗʰ)</v>
      </c>
    </row>
    <row r="30" spans="1:9" x14ac:dyDescent="0.35">
      <c r="A30" s="3" t="str">
        <f>"L/C No.: "&amp;填写区域!B34</f>
        <v>L/C No.: 0</v>
      </c>
    </row>
    <row r="31" spans="1:9" x14ac:dyDescent="0.35">
      <c r="A31" s="3" t="str">
        <f>"Container Reference No.: "&amp;填写区域!B4</f>
        <v>Container Reference No.: C253-34</v>
      </c>
    </row>
    <row r="33" spans="1:9" x14ac:dyDescent="0.35">
      <c r="G33">
        <f>填写区域!B52</f>
        <v>0</v>
      </c>
    </row>
    <row r="34" spans="1:9" x14ac:dyDescent="0.35">
      <c r="H34" s="16"/>
    </row>
    <row r="35" spans="1:9" ht="171" customHeight="1" x14ac:dyDescent="0.35">
      <c r="A35" s="128" t="e">
        <f>VLOOKUP(G33,参数库!A:F,6,)</f>
        <v>#N/A</v>
      </c>
      <c r="B35" s="128"/>
      <c r="C35" s="128"/>
      <c r="D35" s="128"/>
      <c r="E35" s="128"/>
      <c r="F35" s="128"/>
      <c r="G35" s="128"/>
      <c r="H35" s="128"/>
      <c r="I35" s="128"/>
    </row>
  </sheetData>
  <mergeCells count="15">
    <mergeCell ref="G1:I1"/>
    <mergeCell ref="A3:I3"/>
    <mergeCell ref="A5:I5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3:I23"/>
    <mergeCell ref="H28:I28"/>
    <mergeCell ref="A35:I35"/>
  </mergeCells>
  <phoneticPr fontId="38" type="noConversion"/>
  <pageMargins left="0.70866141732283505" right="0.70866141732283505" top="0.78611111111111098" bottom="0.74803149606299202" header="0.31496062992126" footer="0.3149606299212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填写区域</vt:lpstr>
      <vt:lpstr>参数库</vt:lpstr>
      <vt:lpstr>合同</vt:lpstr>
      <vt:lpstr>发票</vt:lpstr>
      <vt:lpstr>IPPC</vt:lpstr>
      <vt:lpstr>汇票</vt:lpstr>
      <vt:lpstr>销售证申请书</vt:lpstr>
      <vt:lpstr>销售证合同</vt:lpstr>
      <vt:lpstr>销售证发票</vt:lpstr>
      <vt:lpstr>销售证申请书!_Hlk180583337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王钊</dc:creator>
  <cp:lastModifiedBy>钊 王</cp:lastModifiedBy>
  <cp:lastPrinted>2025-10-08T05:54:23Z</cp:lastPrinted>
  <dcterms:created xsi:type="dcterms:W3CDTF">2015-06-05T18:19:00Z</dcterms:created>
  <dcterms:modified xsi:type="dcterms:W3CDTF">2026-01-23T07:23:33Z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0E591630742043CBA8C2995AC61D8ACE_13</vt:lpwstr>
  </property>
  <property fmtid="{D5CDD505-2E9C-101B-9397-08002B2CF9AE}" pid="3" name="KSOProductBuildVer">
    <vt:lpwstr>2052-12.1.0.21915</vt:lpwstr>
  </property>
</Properties>
</file>